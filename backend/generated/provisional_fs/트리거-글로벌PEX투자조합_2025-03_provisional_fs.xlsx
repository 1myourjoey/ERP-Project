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가결산전표" sheetId="1" state="visible" r:id="rId1"/>
    <sheet xmlns:r="http://schemas.openxmlformats.org/officeDocument/2006/relationships" name="SFP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계좌내역Scan_202601" sheetId="4" state="visible" r:id="rId4"/>
    <sheet xmlns:r="http://schemas.openxmlformats.org/officeDocument/2006/relationships" name="계좌내역Scan_202512" sheetId="5" state="visible" r:id="rId5"/>
    <sheet xmlns:r="http://schemas.openxmlformats.org/officeDocument/2006/relationships" name="계좌내역Scan_202511" sheetId="6" state="visible" r:id="rId6"/>
    <sheet xmlns:r="http://schemas.openxmlformats.org/officeDocument/2006/relationships" name="계좌내역Scan_202510" sheetId="7" state="visible" r:id="rId7"/>
    <sheet xmlns:r="http://schemas.openxmlformats.org/officeDocument/2006/relationships" name="계좌내역Scan_202509" sheetId="8" state="visible" r:id="rId8"/>
    <sheet xmlns:r="http://schemas.openxmlformats.org/officeDocument/2006/relationships" name="계좌내역Scan_202508" sheetId="9" state="visible" r:id="rId9"/>
    <sheet xmlns:r="http://schemas.openxmlformats.org/officeDocument/2006/relationships" name="계좌내역Scan_202507" sheetId="10" state="visible" r:id="rId10"/>
    <sheet xmlns:r="http://schemas.openxmlformats.org/officeDocument/2006/relationships" name="계좌내역Scan_202506" sheetId="11" state="visible" r:id="rId11"/>
    <sheet xmlns:r="http://schemas.openxmlformats.org/officeDocument/2006/relationships" name="계좌내역Scan_202505" sheetId="12" state="visible" r:id="rId12"/>
    <sheet xmlns:r="http://schemas.openxmlformats.org/officeDocument/2006/relationships" name="계좌내역Scan_202504" sheetId="13" state="visible" r:id="rId13"/>
    <sheet xmlns:r="http://schemas.openxmlformats.org/officeDocument/2006/relationships" name="계좌내역Scan_202503" sheetId="14" state="visible" r:id="rId14"/>
    <sheet xmlns:r="http://schemas.openxmlformats.org/officeDocument/2006/relationships" name="계좌내역Scan_202502" sheetId="15" state="visible" r:id="rId15"/>
    <sheet xmlns:r="http://schemas.openxmlformats.org/officeDocument/2006/relationships" name="계좌내역Scan_202501" sheetId="16" state="visible" r:id="rId16"/>
    <sheet xmlns:r="http://schemas.openxmlformats.org/officeDocument/2006/relationships" name="계좌내역Scan_202412" sheetId="17" state="visible" r:id="rId17"/>
    <sheet xmlns:r="http://schemas.openxmlformats.org/officeDocument/2006/relationships" name="트리거-글로벌PEX투자조합" sheetId="18" state="visible" r:id="rId18"/>
    <sheet xmlns:r="http://schemas.openxmlformats.org/officeDocument/2006/relationships" name="관리보수 산정근거" sheetId="19" state="visible" r:id="rId19"/>
  </sheets>
  <definedNames>
    <definedName name="기준일">#REF!</definedName>
    <definedName name="기준일" localSheetId="17">#REF!</definedName>
    <definedName name="_xlnm.Print_Area" localSheetId="17">'트리거-글로벌PEX투자조합'!$A$1:$M$34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#,##0_);\(#,##0\)"/>
    <numFmt numFmtId="166" formatCode="#,##0_ "/>
    <numFmt numFmtId="167" formatCode="#,##0_);[Red]\(#,##0\)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2"/>
      <scheme val="minor"/>
    </font>
    <font>
      <name val="Arial"/>
      <family val="2"/>
      <sz val="10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0"/>
    </font>
    <font>
      <name val="돋움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rgb="FF800080"/>
      <sz val="12"/>
      <u val="single"/>
      <scheme val="minor"/>
    </font>
    <font>
      <name val="맑은 고딕"/>
      <charset val="129"/>
      <family val="3"/>
      <color rgb="FF000000"/>
      <sz val="12"/>
      <scheme val="minor"/>
    </font>
    <font>
      <name val="맑은 고딕"/>
      <charset val="129"/>
      <family val="3"/>
      <color theme="1"/>
      <sz val="12"/>
      <scheme val="minor"/>
    </font>
    <font>
      <name val="Arial"/>
      <family val="2"/>
      <color indexed="8"/>
      <sz val="10"/>
    </font>
    <font>
      <name val="NanumGothic"/>
      <charset val="129"/>
      <family val="3"/>
      <b val="1"/>
      <color indexed="8"/>
      <sz val="22"/>
    </font>
    <font>
      <name val="NanumGothic"/>
      <charset val="129"/>
      <family val="3"/>
      <color indexed="8"/>
      <sz val="10"/>
    </font>
    <font>
      <name val="NanumGothic"/>
      <charset val="129"/>
      <family val="3"/>
      <b val="1"/>
      <color indexed="8"/>
      <sz val="9"/>
    </font>
    <font>
      <name val="NanumGothic"/>
      <charset val="129"/>
      <family val="3"/>
      <color indexed="8"/>
      <sz val="9"/>
    </font>
    <font>
      <name val="NanumGothic"/>
      <charset val="129"/>
      <family val="3"/>
      <b val="1"/>
      <color indexed="8"/>
      <sz val="10"/>
    </font>
    <font>
      <name val="Arial"/>
      <family val="2"/>
      <sz val="10"/>
    </font>
    <font>
      <name val="Arial"/>
      <family val="2"/>
      <sz val="16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9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41" fontId="23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17" fillId="0" borderId="0"/>
    <xf numFmtId="0" fontId="23" fillId="0" borderId="0"/>
  </cellStyleXfs>
  <cellXfs count="18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14" fontId="0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0" fontId="5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5" fillId="0" borderId="0" applyAlignment="1" pivotButton="0" quotePrefix="0" xfId="2">
      <alignment horizontal="center" vertical="center"/>
    </xf>
    <xf numFmtId="164" fontId="5" fillId="0" borderId="0" applyAlignment="1" pivotButton="0" quotePrefix="0" xfId="3">
      <alignment horizontal="center" vertical="center"/>
    </xf>
    <xf numFmtId="164" fontId="5" fillId="0" borderId="0" applyAlignment="1" pivotButton="0" quotePrefix="0" xfId="4">
      <alignment vertical="center"/>
    </xf>
    <xf numFmtId="14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left" vertical="center"/>
    </xf>
    <xf numFmtId="164" fontId="8" fillId="0" borderId="0" applyAlignment="1" pivotButton="0" quotePrefix="0" xfId="5">
      <alignment vertical="center"/>
    </xf>
    <xf numFmtId="164" fontId="5" fillId="0" borderId="0" applyAlignment="1" pivotButton="0" quotePrefix="0" xfId="3">
      <alignment horizontal="left" vertical="center"/>
    </xf>
    <xf numFmtId="164" fontId="9" fillId="0" borderId="0" applyAlignment="1" pivotButton="0" quotePrefix="0" xfId="3">
      <alignment vertical="center"/>
    </xf>
    <xf numFmtId="0" fontId="9" fillId="0" borderId="0" applyAlignment="1" pivotButton="0" quotePrefix="0" xfId="2">
      <alignment vertical="center"/>
    </xf>
    <xf numFmtId="0" fontId="5" fillId="0" borderId="0" applyAlignment="1" pivotButton="0" quotePrefix="0" xfId="2">
      <alignment horizontal="right" vertical="center"/>
    </xf>
    <xf numFmtId="0" fontId="9" fillId="3" borderId="2" applyAlignment="1" pivotButton="0" quotePrefix="0" xfId="2">
      <alignment horizontal="center" vertical="center"/>
    </xf>
    <xf numFmtId="164" fontId="9" fillId="3" borderId="2" applyAlignment="1" pivotButton="0" quotePrefix="0" xfId="3">
      <alignment horizontal="center" vertical="center"/>
    </xf>
    <xf numFmtId="14" fontId="5" fillId="0" borderId="2" applyAlignment="1" pivotButton="0" quotePrefix="0" xfId="2">
      <alignment horizontal="center" vertical="center"/>
    </xf>
    <xf numFmtId="164" fontId="5" fillId="0" borderId="2" applyAlignment="1" pivotButton="0" quotePrefix="0" xfId="3">
      <alignment horizontal="center" vertical="center"/>
    </xf>
    <xf numFmtId="10" fontId="12" fillId="0" borderId="2" applyAlignment="1" pivotButton="0" quotePrefix="0" xfId="6">
      <alignment vertical="center"/>
    </xf>
    <xf numFmtId="164" fontId="5" fillId="4" borderId="2" applyAlignment="1" pivotButton="0" quotePrefix="0" xfId="3">
      <alignment horizontal="center" vertical="center"/>
    </xf>
    <xf numFmtId="14" fontId="12" fillId="0" borderId="3" applyAlignment="1" pivotButton="0" quotePrefix="0" xfId="3">
      <alignment horizontal="center" vertical="center" wrapText="1"/>
    </xf>
    <xf numFmtId="14" fontId="12" fillId="0" borderId="4" applyAlignment="1" pivotButton="0" quotePrefix="0" xfId="3">
      <alignment horizontal="center" vertical="center" wrapText="1"/>
    </xf>
    <xf numFmtId="164" fontId="9" fillId="3" borderId="2" applyAlignment="1" pivotButton="0" quotePrefix="0" xfId="2">
      <alignment horizontal="center" vertical="center" wrapText="1"/>
    </xf>
    <xf numFmtId="14" fontId="12" fillId="3" borderId="2" applyAlignment="1" pivotButton="0" quotePrefix="0" xfId="3">
      <alignment horizontal="center" vertical="center" wrapText="1"/>
    </xf>
    <xf numFmtId="164" fontId="12" fillId="3" borderId="2" applyAlignment="1" pivotButton="0" quotePrefix="0" xfId="3">
      <alignment horizontal="center" vertical="center" wrapText="1"/>
    </xf>
    <xf numFmtId="0" fontId="13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horizontal="center" vertical="center"/>
    </xf>
    <xf numFmtId="14" fontId="13" fillId="0" borderId="0" applyAlignment="1" pivotButton="0" quotePrefix="0" xfId="2">
      <alignment horizontal="center" vertical="center"/>
    </xf>
    <xf numFmtId="0" fontId="9" fillId="0" borderId="0" applyAlignment="1" pivotButton="0" quotePrefix="0" xfId="2">
      <alignment horizontal="center" vertical="center" wrapText="1"/>
    </xf>
    <xf numFmtId="164" fontId="9" fillId="0" borderId="0" applyAlignment="1" pivotButton="0" quotePrefix="0" xfId="2">
      <alignment horizontal="center" vertical="center" wrapText="1"/>
    </xf>
    <xf numFmtId="14" fontId="12" fillId="0" borderId="0" applyAlignment="1" pivotButton="0" quotePrefix="0" xfId="3">
      <alignment horizontal="center" vertical="center" wrapText="1"/>
    </xf>
    <xf numFmtId="164" fontId="12" fillId="0" borderId="0" applyAlignment="1" pivotButton="0" quotePrefix="0" xfId="3">
      <alignment horizontal="center" vertical="center" wrapText="1"/>
    </xf>
    <xf numFmtId="0" fontId="9" fillId="5" borderId="2" applyAlignment="1" pivotButton="0" quotePrefix="0" xfId="2">
      <alignment horizontal="center" vertical="center" wrapText="1"/>
    </xf>
    <xf numFmtId="166" fontId="12" fillId="0" borderId="2" applyAlignment="1" pivotButton="0" quotePrefix="0" xfId="2">
      <alignment horizontal="right" vertical="center" wrapText="1"/>
    </xf>
    <xf numFmtId="0" fontId="9" fillId="3" borderId="2" applyAlignment="1" pivotButton="0" quotePrefix="0" xfId="2">
      <alignment horizontal="center" vertical="center" wrapText="1"/>
    </xf>
    <xf numFmtId="164" fontId="9" fillId="3" borderId="6" applyAlignment="1" pivotButton="0" quotePrefix="0" xfId="2">
      <alignment horizontal="center" vertical="center" wrapText="1"/>
    </xf>
    <xf numFmtId="14" fontId="9" fillId="3" borderId="9" applyAlignment="1" pivotButton="0" quotePrefix="0" xfId="3">
      <alignment horizontal="center" vertical="center" wrapText="1"/>
    </xf>
    <xf numFmtId="164" fontId="12" fillId="0" borderId="2" applyAlignment="1" pivotButton="0" quotePrefix="0" xfId="3">
      <alignment horizontal="center" vertical="center" wrapText="1"/>
    </xf>
    <xf numFmtId="0" fontId="9" fillId="0" borderId="2" applyAlignment="1" pivotButton="0" quotePrefix="0" xfId="2">
      <alignment horizontal="center" vertical="center" wrapText="1"/>
    </xf>
    <xf numFmtId="167" fontId="12" fillId="0" borderId="2" applyAlignment="1" pivotButton="0" quotePrefix="0" xfId="2">
      <alignment horizontal="right" vertical="center" wrapText="1"/>
    </xf>
    <xf numFmtId="167" fontId="12" fillId="0" borderId="6" applyAlignment="1" pivotButton="0" quotePrefix="0" xfId="2">
      <alignment horizontal="right" vertical="center" wrapText="1"/>
    </xf>
    <xf numFmtId="0" fontId="9" fillId="5" borderId="3" applyAlignment="1" pivotButton="0" quotePrefix="0" xfId="2">
      <alignment horizontal="center" vertical="center" wrapText="1"/>
    </xf>
    <xf numFmtId="166" fontId="12" fillId="0" borderId="3" applyAlignment="1" pivotButton="0" quotePrefix="0" xfId="2">
      <alignment horizontal="right" vertical="center" wrapText="1"/>
    </xf>
    <xf numFmtId="0" fontId="9" fillId="0" borderId="3" applyAlignment="1" pivotButton="0" quotePrefix="0" xfId="2">
      <alignment horizontal="center" vertical="center" wrapText="1"/>
    </xf>
    <xf numFmtId="167" fontId="12" fillId="0" borderId="3" applyAlignment="1" pivotButton="0" quotePrefix="0" xfId="2">
      <alignment horizontal="right" vertical="center" wrapText="1"/>
    </xf>
    <xf numFmtId="167" fontId="12" fillId="0" borderId="10" applyAlignment="1" pivotButton="0" quotePrefix="0" xfId="2">
      <alignment horizontal="right" vertical="center" wrapText="1"/>
    </xf>
    <xf numFmtId="14" fontId="9" fillId="3" borderId="11" applyAlignment="1" pivotButton="0" quotePrefix="0" xfId="3">
      <alignment horizontal="center" vertical="center" wrapText="1"/>
    </xf>
    <xf numFmtId="166" fontId="12" fillId="0" borderId="12" applyAlignment="1" pivotButton="0" quotePrefix="0" xfId="2">
      <alignment horizontal="right" vertical="center" wrapText="1"/>
    </xf>
    <xf numFmtId="164" fontId="12" fillId="0" borderId="3" applyAlignment="1" pivotButton="0" quotePrefix="0" xfId="3">
      <alignment horizontal="center" vertical="center" wrapText="1"/>
    </xf>
    <xf numFmtId="0" fontId="9" fillId="0" borderId="12" applyAlignment="1" pivotButton="0" quotePrefix="0" xfId="2">
      <alignment horizontal="center" vertical="center" wrapText="1"/>
    </xf>
    <xf numFmtId="166" fontId="9" fillId="0" borderId="12" applyAlignment="1" pivotButton="0" quotePrefix="0" xfId="2">
      <alignment horizontal="right" vertical="center" wrapText="1"/>
    </xf>
    <xf numFmtId="167" fontId="9" fillId="0" borderId="12" applyAlignment="1" pivotButton="0" quotePrefix="0" xfId="2">
      <alignment horizontal="right" vertical="center" wrapText="1"/>
    </xf>
    <xf numFmtId="167" fontId="9" fillId="0" borderId="13" applyAlignment="1" pivotButton="0" quotePrefix="0" xfId="2">
      <alignment horizontal="right" vertical="center" wrapText="1"/>
    </xf>
    <xf numFmtId="14" fontId="9" fillId="3" borderId="16" applyAlignment="1" pivotButton="0" quotePrefix="0" xfId="3">
      <alignment horizontal="center" vertical="center" wrapText="1"/>
    </xf>
    <xf numFmtId="164" fontId="12" fillId="0" borderId="12" applyAlignment="1" pivotButton="0" quotePrefix="0" xfId="3">
      <alignment horizontal="center" vertical="center" wrapText="1"/>
    </xf>
    <xf numFmtId="166" fontId="9" fillId="0" borderId="0" applyAlignment="1" pivotButton="0" quotePrefix="0" xfId="2">
      <alignment horizontal="right" vertical="center" wrapText="1"/>
    </xf>
    <xf numFmtId="167" fontId="9" fillId="0" borderId="0" applyAlignment="1" pivotButton="0" quotePrefix="0" xfId="2">
      <alignment horizontal="right" vertical="center" wrapText="1"/>
    </xf>
    <xf numFmtId="0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center" vertical="center"/>
    </xf>
    <xf numFmtId="14" fontId="16" fillId="0" borderId="0" applyAlignment="1" pivotButton="0" quotePrefix="0" xfId="2">
      <alignment horizontal="center" vertical="center"/>
    </xf>
    <xf numFmtId="164" fontId="16" fillId="0" borderId="0" applyAlignment="1" pivotButton="0" quotePrefix="0" xfId="3">
      <alignment horizontal="center" vertical="center"/>
    </xf>
    <xf numFmtId="0" fontId="16" fillId="0" borderId="0" applyAlignment="1" pivotButton="0" quotePrefix="0" xfId="2">
      <alignment vertical="center"/>
    </xf>
    <xf numFmtId="0" fontId="12" fillId="0" borderId="0" applyAlignment="1" pivotButton="0" quotePrefix="0" xfId="2">
      <alignment horizontal="center" vertical="center"/>
    </xf>
    <xf numFmtId="0" fontId="17" fillId="0" borderId="0" pivotButton="0" quotePrefix="0" xfId="7"/>
    <xf numFmtId="49" fontId="20" fillId="6" borderId="17" applyAlignment="1" pivotButton="0" quotePrefix="0" xfId="7">
      <alignment horizontal="center" vertical="center"/>
    </xf>
    <xf numFmtId="49" fontId="21" fillId="0" borderId="17" applyAlignment="1" pivotButton="0" quotePrefix="0" xfId="7">
      <alignment horizontal="right" vertical="center" wrapText="1"/>
    </xf>
    <xf numFmtId="49" fontId="21" fillId="0" borderId="17" applyAlignment="1" pivotButton="0" quotePrefix="0" xfId="7">
      <alignment horizontal="center" vertical="center" wrapText="1"/>
    </xf>
    <xf numFmtId="0" fontId="7" fillId="0" borderId="0" pivotButton="0" quotePrefix="0" xfId="8"/>
    <xf numFmtId="0" fontId="7" fillId="0" borderId="18" applyAlignment="1" pivotButton="0" quotePrefix="0" xfId="8">
      <alignment horizontal="center" vertical="center" wrapText="1"/>
    </xf>
    <xf numFmtId="0" fontId="23" fillId="0" borderId="19" applyAlignment="1" pivotButton="0" quotePrefix="0" xfId="8">
      <alignment horizontal="center" vertical="center"/>
    </xf>
    <xf numFmtId="3" fontId="7" fillId="0" borderId="18" applyAlignment="1" pivotButton="0" quotePrefix="0" xfId="8">
      <alignment horizontal="right" vertical="center" wrapText="1"/>
    </xf>
    <xf numFmtId="3" fontId="7" fillId="7" borderId="18" applyAlignment="1" pivotButton="0" quotePrefix="0" xfId="8">
      <alignment horizontal="right" vertical="center" wrapText="1"/>
    </xf>
    <xf numFmtId="164" fontId="0" fillId="0" borderId="0" applyAlignment="1" pivotButton="0" quotePrefix="0" xfId="1">
      <alignment vertical="center"/>
    </xf>
    <xf numFmtId="0" fontId="0" fillId="0" borderId="1" applyAlignment="1" pivotButton="0" quotePrefix="0" xfId="0">
      <alignment horizontal="center" vertical="center"/>
    </xf>
    <xf numFmtId="0" fontId="23" fillId="0" borderId="19" applyAlignment="1" pivotButton="0" quotePrefix="0" xfId="8">
      <alignment horizontal="center" vertical="center"/>
    </xf>
    <xf numFmtId="0" fontId="7" fillId="0" borderId="18" applyAlignment="1" pivotButton="0" quotePrefix="0" xfId="8">
      <alignment horizontal="center" vertical="center" wrapText="1"/>
    </xf>
    <xf numFmtId="0" fontId="7" fillId="0" borderId="18" applyAlignment="1" pivotButton="0" quotePrefix="0" xfId="8">
      <alignment horizontal="right" vertical="center" wrapText="1"/>
    </xf>
    <xf numFmtId="0" fontId="24" fillId="0" borderId="19" applyAlignment="1" pivotButton="0" quotePrefix="0" xfId="8">
      <alignment horizontal="center" vertical="center"/>
    </xf>
    <xf numFmtId="0" fontId="7" fillId="0" borderId="0" applyAlignment="1" pivotButton="0" quotePrefix="0" xfId="8">
      <alignment horizontal="right" vertical="center"/>
    </xf>
    <xf numFmtId="0" fontId="7" fillId="0" borderId="0" pivotButton="0" quotePrefix="0" xfId="8"/>
    <xf numFmtId="49" fontId="21" fillId="0" borderId="17" applyAlignment="1" pivotButton="0" quotePrefix="0" xfId="7">
      <alignment horizontal="right" vertical="center" wrapText="1"/>
    </xf>
    <xf numFmtId="49" fontId="21" fillId="0" borderId="17" applyAlignment="1" pivotButton="0" quotePrefix="0" xfId="7">
      <alignment horizontal="center" vertical="center" wrapText="1"/>
    </xf>
    <xf numFmtId="49" fontId="21" fillId="6" borderId="17" applyAlignment="1" pivotButton="0" quotePrefix="0" xfId="7">
      <alignment horizontal="left" vertical="center" wrapText="1"/>
    </xf>
    <xf numFmtId="49" fontId="22" fillId="0" borderId="0" applyAlignment="1" pivotButton="0" quotePrefix="0" xfId="7">
      <alignment horizontal="left" vertical="center" wrapText="1"/>
    </xf>
    <xf numFmtId="49" fontId="19" fillId="0" borderId="0" applyAlignment="1" pivotButton="0" quotePrefix="0" xfId="7">
      <alignment horizontal="right" vertical="center"/>
    </xf>
    <xf numFmtId="49" fontId="20" fillId="6" borderId="17" applyAlignment="1" pivotButton="0" quotePrefix="0" xfId="7">
      <alignment horizontal="center" vertical="center"/>
    </xf>
    <xf numFmtId="49" fontId="21" fillId="0" borderId="17" applyAlignment="1" pivotButton="0" quotePrefix="0" xfId="7">
      <alignment horizontal="left" vertical="center" wrapText="1"/>
    </xf>
    <xf numFmtId="49" fontId="18" fillId="6" borderId="0" applyAlignment="1" pivotButton="0" quotePrefix="0" xfId="7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2">
      <alignment horizontal="left" vertical="center"/>
    </xf>
    <xf numFmtId="167" fontId="12" fillId="0" borderId="2" applyAlignment="1" pivotButton="0" quotePrefix="0" xfId="2">
      <alignment horizontal="right" vertical="center" wrapText="1"/>
    </xf>
    <xf numFmtId="167" fontId="12" fillId="0" borderId="6" applyAlignment="1" pivotButton="0" quotePrefix="0" xfId="2">
      <alignment horizontal="center" vertical="center" wrapText="1"/>
    </xf>
    <xf numFmtId="167" fontId="12" fillId="0" borderId="8" applyAlignment="1" pivotButton="0" quotePrefix="0" xfId="2">
      <alignment horizontal="center" vertical="center" wrapText="1"/>
    </xf>
    <xf numFmtId="167" fontId="12" fillId="0" borderId="3" applyAlignment="1" pivotButton="0" quotePrefix="0" xfId="2">
      <alignment horizontal="right" vertical="center" wrapText="1"/>
    </xf>
    <xf numFmtId="0" fontId="9" fillId="0" borderId="13" applyAlignment="1" pivotButton="0" quotePrefix="0" xfId="2">
      <alignment horizontal="center" vertical="center" wrapText="1"/>
    </xf>
    <xf numFmtId="0" fontId="9" fillId="0" borderId="14" applyAlignment="1" pivotButton="0" quotePrefix="0" xfId="2">
      <alignment horizontal="center" vertical="center" wrapText="1"/>
    </xf>
    <xf numFmtId="0" fontId="9" fillId="0" borderId="15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9" fillId="3" borderId="2" applyAlignment="1" pivotButton="0" quotePrefix="0" xfId="2">
      <alignment horizontal="center" vertical="center" wrapText="1"/>
    </xf>
    <xf numFmtId="0" fontId="5" fillId="0" borderId="3" applyAlignment="1" pivotButton="0" quotePrefix="0" xfId="2">
      <alignment horizontal="center" vertical="center" wrapText="1"/>
    </xf>
    <xf numFmtId="0" fontId="5" fillId="0" borderId="4" applyAlignment="1" pivotButton="0" quotePrefix="0" xfId="2">
      <alignment horizontal="center" vertical="center" wrapText="1"/>
    </xf>
    <xf numFmtId="0" fontId="5" fillId="0" borderId="5" applyAlignment="1" pivotButton="0" quotePrefix="0" xfId="2">
      <alignment horizontal="center" vertical="center" wrapText="1"/>
    </xf>
    <xf numFmtId="166" fontId="5" fillId="0" borderId="3" applyAlignment="1" pivotButton="0" quotePrefix="0" xfId="3">
      <alignment horizontal="center" vertical="center"/>
    </xf>
    <xf numFmtId="166" fontId="5" fillId="0" borderId="4" applyAlignment="1" pivotButton="0" quotePrefix="0" xfId="3">
      <alignment horizontal="center" vertical="center"/>
    </xf>
    <xf numFmtId="164" fontId="12" fillId="0" borderId="3" applyAlignment="1" pivotButton="0" quotePrefix="0" xfId="3">
      <alignment horizontal="center" vertical="center" wrapText="1"/>
    </xf>
    <xf numFmtId="164" fontId="12" fillId="0" borderId="4" applyAlignment="1" pivotButton="0" quotePrefix="0" xfId="3">
      <alignment horizontal="center" vertical="center" wrapText="1"/>
    </xf>
    <xf numFmtId="164" fontId="12" fillId="0" borderId="5" applyAlignment="1" pivotButton="0" quotePrefix="0" xfId="3">
      <alignment horizontal="center" vertical="center" wrapText="1"/>
    </xf>
    <xf numFmtId="164" fontId="5" fillId="0" borderId="4" applyAlignment="1" pivotButton="0" quotePrefix="0" xfId="3">
      <alignment horizontal="center" vertical="center" wrapText="1"/>
    </xf>
    <xf numFmtId="164" fontId="5" fillId="0" borderId="5" applyAlignment="1" pivotButton="0" quotePrefix="0" xfId="3">
      <alignment horizontal="center" vertical="center" wrapText="1"/>
    </xf>
    <xf numFmtId="0" fontId="9" fillId="3" borderId="6" applyAlignment="1" pivotButton="0" quotePrefix="0" xfId="2">
      <alignment horizontal="center" vertical="center" wrapText="1"/>
    </xf>
    <xf numFmtId="0" fontId="9" fillId="3" borderId="7" applyAlignment="1" pivotButton="0" quotePrefix="0" xfId="2">
      <alignment horizontal="center" vertical="center" wrapText="1"/>
    </xf>
    <xf numFmtId="0" fontId="9" fillId="3" borderId="8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164" fontId="0" fillId="0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165" fontId="0" fillId="0" borderId="0" applyAlignment="1" pivotButton="0" quotePrefix="0" xfId="0">
      <alignment vertical="center"/>
    </xf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34" pivotButton="0" quotePrefix="0" xfId="0"/>
    <xf numFmtId="164" fontId="5" fillId="0" borderId="0" applyAlignment="1" pivotButton="0" quotePrefix="0" xfId="3">
      <alignment horizontal="center" vertical="center"/>
    </xf>
    <xf numFmtId="164" fontId="5" fillId="0" borderId="0" applyAlignment="1" pivotButton="0" quotePrefix="0" xfId="4">
      <alignment vertical="center"/>
    </xf>
    <xf numFmtId="164" fontId="8" fillId="0" borderId="0" applyAlignment="1" pivotButton="0" quotePrefix="0" xfId="5">
      <alignment vertical="center"/>
    </xf>
    <xf numFmtId="164" fontId="5" fillId="0" borderId="0" applyAlignment="1" pivotButton="0" quotePrefix="0" xfId="3">
      <alignment horizontal="left" vertical="center"/>
    </xf>
    <xf numFmtId="164" fontId="9" fillId="0" borderId="0" applyAlignment="1" pivotButton="0" quotePrefix="0" xfId="3">
      <alignment vertical="center"/>
    </xf>
    <xf numFmtId="164" fontId="9" fillId="3" borderId="2" applyAlignment="1" pivotButton="0" quotePrefix="0" xfId="3">
      <alignment horizontal="center" vertical="center"/>
    </xf>
    <xf numFmtId="0" fontId="5" fillId="0" borderId="2" applyAlignment="1" pivotButton="0" quotePrefix="0" xfId="2">
      <alignment horizontal="center" vertical="center" wrapText="1"/>
    </xf>
    <xf numFmtId="166" fontId="5" fillId="0" borderId="3" applyAlignment="1" pivotButton="0" quotePrefix="0" xfId="3">
      <alignment horizontal="center" vertical="center"/>
    </xf>
    <xf numFmtId="164" fontId="5" fillId="0" borderId="2" applyAlignment="1" pivotButton="0" quotePrefix="0" xfId="3">
      <alignment horizontal="center" vertical="center"/>
    </xf>
    <xf numFmtId="164" fontId="5" fillId="4" borderId="2" applyAlignment="1" pivotButton="0" quotePrefix="0" xfId="3">
      <alignment horizontal="center" vertical="center"/>
    </xf>
    <xf numFmtId="164" fontId="12" fillId="0" borderId="2" applyAlignment="1" pivotButton="0" quotePrefix="0" xfId="3">
      <alignment horizontal="center" vertical="center" wrapText="1"/>
    </xf>
    <xf numFmtId="0" fontId="0" fillId="0" borderId="4" pivotButton="0" quotePrefix="0" xfId="0"/>
    <xf numFmtId="164" fontId="5" fillId="0" borderId="5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9" fillId="3" borderId="2" applyAlignment="1" pivotButton="0" quotePrefix="0" xfId="2">
      <alignment horizontal="center" vertical="center" wrapText="1"/>
    </xf>
    <xf numFmtId="164" fontId="12" fillId="3" borderId="2" applyAlignment="1" pivotButton="0" quotePrefix="0" xfId="3">
      <alignment horizontal="center" vertical="center" wrapText="1"/>
    </xf>
    <xf numFmtId="164" fontId="9" fillId="0" borderId="0" applyAlignment="1" pivotButton="0" quotePrefix="0" xfId="2">
      <alignment horizontal="center" vertical="center" wrapText="1"/>
    </xf>
    <xf numFmtId="164" fontId="12" fillId="0" borderId="0" applyAlignment="1" pivotButton="0" quotePrefix="0" xfId="3">
      <alignment horizontal="center" vertical="center" wrapText="1"/>
    </xf>
    <xf numFmtId="166" fontId="12" fillId="0" borderId="2" applyAlignment="1" pivotButton="0" quotePrefix="0" xfId="2">
      <alignment horizontal="right" vertical="center" wrapText="1"/>
    </xf>
    <xf numFmtId="164" fontId="9" fillId="3" borderId="6" applyAlignment="1" pivotButton="0" quotePrefix="0" xfId="2">
      <alignment horizontal="center" vertical="center" wrapText="1"/>
    </xf>
    <xf numFmtId="167" fontId="12" fillId="0" borderId="2" applyAlignment="1" pivotButton="0" quotePrefix="0" xfId="2">
      <alignment horizontal="right" vertical="center" wrapText="1"/>
    </xf>
    <xf numFmtId="167" fontId="12" fillId="0" borderId="6" applyAlignment="1" pivotButton="0" quotePrefix="0" xfId="2">
      <alignment horizontal="right" vertical="center" wrapText="1"/>
    </xf>
    <xf numFmtId="166" fontId="12" fillId="0" borderId="3" applyAlignment="1" pivotButton="0" quotePrefix="0" xfId="2">
      <alignment horizontal="right" vertical="center" wrapText="1"/>
    </xf>
    <xf numFmtId="167" fontId="12" fillId="0" borderId="2" applyAlignment="1" pivotButton="0" quotePrefix="0" xfId="2">
      <alignment horizontal="center" vertical="center" wrapText="1"/>
    </xf>
    <xf numFmtId="167" fontId="12" fillId="0" borderId="3" applyAlignment="1" pivotButton="0" quotePrefix="0" xfId="2">
      <alignment horizontal="right" vertical="center" wrapText="1"/>
    </xf>
    <xf numFmtId="167" fontId="12" fillId="0" borderId="10" applyAlignment="1" pivotButton="0" quotePrefix="0" xfId="2">
      <alignment horizontal="right" vertical="center" wrapText="1"/>
    </xf>
    <xf numFmtId="166" fontId="12" fillId="0" borderId="12" applyAlignment="1" pivotButton="0" quotePrefix="0" xfId="2">
      <alignment horizontal="right" vertical="center" wrapText="1"/>
    </xf>
    <xf numFmtId="0" fontId="0" fillId="0" borderId="36" pivotButton="0" quotePrefix="0" xfId="0"/>
    <xf numFmtId="164" fontId="12" fillId="0" borderId="3" applyAlignment="1" pivotButton="0" quotePrefix="0" xfId="3">
      <alignment horizontal="center" vertical="center" wrapText="1"/>
    </xf>
    <xf numFmtId="166" fontId="9" fillId="0" borderId="12" applyAlignment="1" pivotButton="0" quotePrefix="0" xfId="2">
      <alignment horizontal="right" vertical="center" wrapText="1"/>
    </xf>
    <xf numFmtId="0" fontId="0" fillId="0" borderId="14" pivotButton="0" quotePrefix="0" xfId="0"/>
    <xf numFmtId="0" fontId="0" fillId="0" borderId="15" pivotButton="0" quotePrefix="0" xfId="0"/>
    <xf numFmtId="167" fontId="9" fillId="0" borderId="12" applyAlignment="1" pivotButton="0" quotePrefix="0" xfId="2">
      <alignment horizontal="right" vertical="center" wrapText="1"/>
    </xf>
    <xf numFmtId="167" fontId="9" fillId="0" borderId="13" applyAlignment="1" pivotButton="0" quotePrefix="0" xfId="2">
      <alignment horizontal="right" vertical="center" wrapText="1"/>
    </xf>
    <xf numFmtId="164" fontId="12" fillId="0" borderId="12" applyAlignment="1" pivotButton="0" quotePrefix="0" xfId="3">
      <alignment horizontal="center" vertical="center" wrapText="1"/>
    </xf>
    <xf numFmtId="166" fontId="9" fillId="0" borderId="0" applyAlignment="1" pivotButton="0" quotePrefix="0" xfId="2">
      <alignment horizontal="right" vertical="center" wrapText="1"/>
    </xf>
    <xf numFmtId="167" fontId="9" fillId="0" borderId="0" applyAlignment="1" pivotButton="0" quotePrefix="0" xfId="2">
      <alignment horizontal="right" vertical="center" wrapText="1"/>
    </xf>
    <xf numFmtId="164" fontId="16" fillId="0" borderId="0" applyAlignment="1" pivotButton="0" quotePrefix="0" xfId="3">
      <alignment horizontal="center" vertical="center"/>
    </xf>
  </cellXfs>
  <cellStyles count="9">
    <cellStyle name="표준" xfId="0" builtinId="0"/>
    <cellStyle name="쉼표 [0]" xfId="1" builtinId="6"/>
    <cellStyle name="표준 3" xfId="2"/>
    <cellStyle name="쉼표 [0] 2" xfId="3"/>
    <cellStyle name="쉼표 [0] 3" xfId="4"/>
    <cellStyle name="쉼표 [0] 4" xfId="5"/>
    <cellStyle name="백분율 2" xfId="6"/>
    <cellStyle name="표준 2" xfId="7"/>
    <cellStyle name="표준 4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gif" Id="rId1"/><Relationship Type="http://schemas.openxmlformats.org/officeDocument/2006/relationships/image" Target="/xl/media/image12.jpeg" Id="rId2"/><Relationship Type="http://schemas.openxmlformats.org/officeDocument/2006/relationships/image" Target="/xl/media/image13.jpeg" Id="rId3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150000</colOff>
      <row>2</row>
      <rowOff>150000</rowOff>
    </from>
    <to>
      <col>11</col>
      <colOff>503431</colOff>
      <row>24</row>
      <rowOff>74433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5800" y="569100"/>
          <a:ext cx="7211431" cy="45345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11</col>
      <colOff>303905</colOff>
      <row>31</row>
      <rowOff>123024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5800" y="209550"/>
          <a:ext cx="7161905" cy="64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11</col>
      <colOff>401063</colOff>
      <row>17</row>
      <rowOff>29047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5800" y="209550"/>
          <a:ext cx="7259063" cy="33818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</col>
      <colOff>0</colOff>
      <row>1</row>
      <rowOff>0</rowOff>
    </from>
    <to>
      <col>12</col>
      <colOff>477274</colOff>
      <row>30</row>
      <rowOff>181848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0" y="209550"/>
          <a:ext cx="7335274" cy="62587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2</col>
      <colOff>0</colOff>
      <row>1</row>
      <rowOff>0</rowOff>
    </from>
    <to>
      <col>12</col>
      <colOff>181957</colOff>
      <row>18</row>
      <rowOff>86234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0" y="209550"/>
          <a:ext cx="7039957" cy="3648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11</col>
      <colOff>515379</colOff>
      <row>42</row>
      <rowOff>134568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5800" y="209550"/>
          <a:ext cx="7373379" cy="87261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2</col>
      <colOff>0</colOff>
      <row>1</row>
      <rowOff>0</rowOff>
    </from>
    <to>
      <col>12</col>
      <colOff>467747</colOff>
      <row>19</row>
      <rowOff>48158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0" y="209550"/>
          <a:ext cx="7325747" cy="38200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2</col>
      <colOff>0</colOff>
      <row>1</row>
      <rowOff>0</rowOff>
    </from>
    <to>
      <col>12</col>
      <colOff>372484</colOff>
      <row>23</row>
      <rowOff>162591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0" y="209550"/>
          <a:ext cx="7230484" cy="47726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295275</colOff>
      <row>0</row>
      <rowOff>171450</rowOff>
    </from>
    <to>
      <col>10</col>
      <colOff>524864</colOff>
      <row>19</row>
      <rowOff>19584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5275" y="171450"/>
          <a:ext cx="7087589" cy="3829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11</col>
      <colOff>191484</colOff>
      <row>26</row>
      <rowOff>181731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5800" y="209550"/>
          <a:ext cx="7049484" cy="54204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11</col>
      <colOff>0</colOff>
      <row>1</row>
      <rowOff>0</rowOff>
    </from>
    <to>
      <col>14</col>
      <colOff>0</colOff>
      <row>2</row>
      <rowOff>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t="-8592" b="-85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476875" y="228600"/>
          <a:ext cx="1095375" cy="714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14</col>
      <colOff>0</colOff>
      <row>3</row>
      <rowOff>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7980" b="-700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0" y="942975"/>
          <a:ext cx="647700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</row>
      <rowOff>0</rowOff>
    </from>
    <to>
      <col>14</col>
      <colOff>0</colOff>
      <row>22</row>
      <rowOff>0</rowOff>
    </to>
    <pic>
      <nvPicPr>
        <cNvPr id="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7982" t="-32520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0" y="6134100"/>
          <a:ext cx="647700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2</col>
      <colOff>0</colOff>
      <row>1</row>
      <rowOff>0</rowOff>
    </from>
    <to>
      <col>12</col>
      <colOff>181957</colOff>
      <row>23</row>
      <rowOff>200696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0" y="209550"/>
          <a:ext cx="7039957" cy="48107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1</col>
      <colOff>190500</colOff>
      <row>0</row>
      <rowOff>0</rowOff>
    </from>
    <to>
      <col>11</col>
      <colOff>143826</colOff>
      <row>27</row>
      <rowOff>86527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6300" y="0"/>
          <a:ext cx="6811326" cy="57443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7</col>
      <colOff>562628</colOff>
      <row>34</row>
      <rowOff>115281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5800" y="209550"/>
          <a:ext cx="4677428" cy="70304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1</row>
      <rowOff>0</rowOff>
    </from>
    <to>
      <col>15</col>
      <colOff>562628</colOff>
      <row>34</row>
      <rowOff>153386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72200" y="209550"/>
          <a:ext cx="4677428" cy="70685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86"/>
  <sheetViews>
    <sheetView topLeftCell="A70" workbookViewId="0">
      <selection activeCell="F82" sqref="F82"/>
    </sheetView>
  </sheetViews>
  <sheetFormatPr baseColWidth="8" defaultRowHeight="16.5"/>
  <cols>
    <col width="16.25" customWidth="1" style="125" min="2" max="6"/>
    <col width="39.75" customWidth="1" style="125" min="7" max="7"/>
  </cols>
  <sheetData>
    <row r="2">
      <c r="B2" s="0" t="inlineStr">
        <is>
          <t>근거규정</t>
        </is>
      </c>
      <c r="C2" s="0" t="inlineStr">
        <is>
          <t>벤처투자조합 등록 및 관리규정 제3장 벤처투자조합 회계처리기준 이하 제23조(벤처투자회사 등록 및 관리규정 준용), 제24조~제30조</t>
        </is>
      </c>
    </row>
    <row r="3">
      <c r="C3" s="0" t="inlineStr">
        <is>
          <t>벤처투자회사 등록 및 관리규정</t>
        </is>
      </c>
    </row>
    <row r="5">
      <c r="C5" s="86" t="inlineStr">
        <is>
          <t>차변</t>
        </is>
      </c>
      <c r="D5" s="126" t="n"/>
      <c r="E5" s="86" t="inlineStr">
        <is>
          <t>대변</t>
        </is>
      </c>
      <c r="F5" s="126" t="n"/>
      <c r="G5" s="86" t="inlineStr">
        <is>
          <t>적요</t>
        </is>
      </c>
    </row>
    <row r="6">
      <c r="B6" s="86" t="inlineStr">
        <is>
          <t>일시</t>
        </is>
      </c>
      <c r="C6" s="86" t="inlineStr">
        <is>
          <t>계정과목</t>
        </is>
      </c>
      <c r="D6" s="86" t="inlineStr">
        <is>
          <t>금액</t>
        </is>
      </c>
      <c r="E6" s="86" t="inlineStr">
        <is>
          <t>계정과목</t>
        </is>
      </c>
      <c r="F6" s="86" t="inlineStr">
        <is>
          <t>금액</t>
        </is>
      </c>
      <c r="G6" s="86" t="n"/>
    </row>
    <row r="7">
      <c r="B7" s="3" t="n">
        <v>45735</v>
      </c>
      <c r="C7" s="0" t="inlineStr">
        <is>
          <t>MMDA</t>
        </is>
      </c>
      <c r="D7" s="127" t="n">
        <v>600000000</v>
      </c>
      <c r="E7" s="0" t="inlineStr">
        <is>
          <t>출자금</t>
        </is>
      </c>
      <c r="F7" s="128" t="n">
        <v>600000000</v>
      </c>
      <c r="G7" s="0" t="inlineStr">
        <is>
          <t>출자금 납입</t>
        </is>
      </c>
    </row>
    <row r="8">
      <c r="B8" s="3" t="n">
        <v>45735</v>
      </c>
      <c r="C8" s="0" t="inlineStr">
        <is>
          <t>미지급금</t>
        </is>
      </c>
      <c r="D8" s="127" t="n">
        <v>100000000</v>
      </c>
      <c r="E8" s="0" t="inlineStr">
        <is>
          <t>미지급금</t>
        </is>
      </c>
      <c r="F8" s="128" t="n">
        <v>100000000</v>
      </c>
      <c r="G8" s="0" t="inlineStr">
        <is>
          <t>E-우리은행</t>
        </is>
      </c>
    </row>
    <row r="9">
      <c r="B9" s="3" t="n">
        <v>45735</v>
      </c>
      <c r="C9" s="0" t="inlineStr">
        <is>
          <t>미지급금</t>
        </is>
      </c>
      <c r="D9" s="127" t="n">
        <v>11000000</v>
      </c>
      <c r="E9" s="0" t="inlineStr">
        <is>
          <t>미지급금</t>
        </is>
      </c>
      <c r="F9" s="128" t="n">
        <v>11000000</v>
      </c>
      <c r="G9" s="0" t="inlineStr">
        <is>
          <t>E-기업은행</t>
        </is>
      </c>
    </row>
    <row r="10">
      <c r="B10" s="3" t="n">
        <v>45735</v>
      </c>
      <c r="C10" s="0" t="inlineStr">
        <is>
          <t>미지급금</t>
        </is>
      </c>
      <c r="D10" s="127" t="n">
        <v>300000000</v>
      </c>
      <c r="E10" s="0" t="inlineStr">
        <is>
          <t>미지급금</t>
        </is>
      </c>
      <c r="F10" s="128" t="n">
        <v>300000000</v>
      </c>
      <c r="G10" s="0" t="inlineStr">
        <is>
          <t>E-우리은행</t>
        </is>
      </c>
    </row>
    <row r="11">
      <c r="B11" s="3" t="n">
        <v>45736</v>
      </c>
      <c r="C11" s="0" t="inlineStr">
        <is>
          <t>회계감사수수료</t>
        </is>
      </c>
      <c r="D11" s="127" t="n">
        <v>1155000</v>
      </c>
      <c r="E11" s="0" t="inlineStr">
        <is>
          <t>MMDA</t>
        </is>
      </c>
      <c r="F11" s="128" t="n">
        <v>1155000</v>
      </c>
      <c r="G11" s="0" t="inlineStr">
        <is>
          <t>회계감사수수료</t>
        </is>
      </c>
    </row>
    <row r="12">
      <c r="B12" s="3" t="n">
        <v>45737</v>
      </c>
      <c r="C12" s="0" t="inlineStr">
        <is>
          <t>미지급금</t>
        </is>
      </c>
      <c r="D12" s="127" t="n">
        <v>999957000</v>
      </c>
      <c r="E12" s="0" t="inlineStr">
        <is>
          <t>미지급금</t>
        </is>
      </c>
      <c r="F12" s="128" t="n">
        <v>999957000</v>
      </c>
      <c r="G12" s="0" t="inlineStr">
        <is>
          <t>NH증권수탁</t>
        </is>
      </c>
    </row>
    <row r="13">
      <c r="B13" s="3" t="n">
        <v>45739</v>
      </c>
      <c r="C13" s="0" t="inlineStr">
        <is>
          <t>MMDA</t>
        </is>
      </c>
      <c r="D13" s="127" t="n">
        <v>234446</v>
      </c>
      <c r="E13" s="0" t="inlineStr">
        <is>
          <t>MMDA이자</t>
        </is>
      </c>
      <c r="F13" s="128" t="n">
        <v>234446</v>
      </c>
      <c r="G13" s="0" t="inlineStr">
        <is>
          <t>MMDA이자</t>
        </is>
      </c>
    </row>
    <row r="14">
      <c r="B14" s="3" t="n">
        <v>45741</v>
      </c>
      <c r="C14" s="0" t="inlineStr">
        <is>
          <t>미지급금</t>
        </is>
      </c>
      <c r="D14" s="127" t="n">
        <v>150000000</v>
      </c>
      <c r="E14" s="0" t="inlineStr">
        <is>
          <t>미지급금</t>
        </is>
      </c>
      <c r="F14" s="128" t="n">
        <v>150000000</v>
      </c>
      <c r="G14" s="0" t="inlineStr">
        <is>
          <t>E-우리은행</t>
        </is>
      </c>
    </row>
    <row r="15">
      <c r="B15" s="3" t="n">
        <v>45742</v>
      </c>
      <c r="C15" s="0" t="inlineStr">
        <is>
          <t>MMDA</t>
        </is>
      </c>
      <c r="D15" s="127" t="n">
        <v>900000000</v>
      </c>
      <c r="E15" s="0" t="inlineStr">
        <is>
          <t>출자금</t>
        </is>
      </c>
      <c r="F15" s="128" t="n">
        <v>900000000</v>
      </c>
      <c r="G15" s="0" t="inlineStr">
        <is>
          <t>출자금 납입</t>
        </is>
      </c>
    </row>
    <row r="16">
      <c r="B16" s="3" t="n">
        <v>45742</v>
      </c>
      <c r="C16" s="0" t="inlineStr">
        <is>
          <t>미지급금</t>
        </is>
      </c>
      <c r="D16" s="127" t="n">
        <v>16500000</v>
      </c>
      <c r="E16" s="0" t="inlineStr">
        <is>
          <t>미지급금</t>
        </is>
      </c>
      <c r="F16" s="128" t="n">
        <v>16500000</v>
      </c>
      <c r="G16" s="0" t="inlineStr">
        <is>
          <t>E-기업은행</t>
        </is>
      </c>
    </row>
    <row r="17">
      <c r="B17" s="3" t="n">
        <v>45742</v>
      </c>
      <c r="C17" s="0" t="inlineStr">
        <is>
          <t>미지급금</t>
        </is>
      </c>
      <c r="D17" s="127" t="n">
        <v>450000000</v>
      </c>
      <c r="E17" s="0" t="inlineStr">
        <is>
          <t>미지급금</t>
        </is>
      </c>
      <c r="F17" s="128" t="n">
        <v>450000000</v>
      </c>
      <c r="G17" s="0" t="inlineStr">
        <is>
          <t>E-우리은행</t>
        </is>
      </c>
    </row>
    <row r="18">
      <c r="B18" s="3" t="n">
        <v>45744</v>
      </c>
      <c r="C18" s="0" t="inlineStr">
        <is>
          <t>미지급금</t>
        </is>
      </c>
      <c r="D18" s="127" t="n">
        <v>1499925000</v>
      </c>
      <c r="E18" s="0" t="inlineStr">
        <is>
          <t>미지급금</t>
        </is>
      </c>
      <c r="F18" s="128" t="n">
        <v>1499925000</v>
      </c>
      <c r="G18" s="0" t="inlineStr">
        <is>
          <t>NH증권수탁</t>
        </is>
      </c>
    </row>
    <row r="19">
      <c r="B19" s="3" t="n">
        <v>45747</v>
      </c>
      <c r="C19" s="0" t="inlineStr">
        <is>
          <t>미지급금</t>
        </is>
      </c>
      <c r="D19" s="127" t="n">
        <v>63012492</v>
      </c>
      <c r="E19" s="0" t="inlineStr">
        <is>
          <t>미지급금</t>
        </is>
      </c>
      <c r="F19" s="128" t="n">
        <v>63012492</v>
      </c>
      <c r="G19" s="0" t="inlineStr">
        <is>
          <t>NH증권수탁</t>
        </is>
      </c>
    </row>
    <row r="20">
      <c r="B20" s="3" t="n"/>
      <c r="C20" s="0" t="n"/>
      <c r="D20" s="127" t="n"/>
      <c r="E20" s="0" t="n"/>
      <c r="F20" s="128" t="n"/>
      <c r="G20" s="0" t="n"/>
    </row>
    <row r="21">
      <c r="B21" s="3" t="n"/>
      <c r="C21" s="0" t="n"/>
      <c r="D21" s="127" t="n"/>
      <c r="E21" s="0" t="n"/>
      <c r="F21" s="128" t="n"/>
      <c r="G21" s="0" t="n"/>
    </row>
    <row r="22">
      <c r="B22" s="3" t="n"/>
      <c r="C22" s="0" t="n"/>
      <c r="D22" s="127" t="n"/>
      <c r="E22" s="0" t="n"/>
      <c r="F22" s="128" t="n"/>
      <c r="G22" s="0" t="n"/>
    </row>
    <row r="23">
      <c r="B23" s="3" t="n"/>
      <c r="C23" s="0" t="n"/>
      <c r="D23" s="127" t="n"/>
      <c r="E23" s="0" t="n"/>
      <c r="F23" s="128" t="n"/>
      <c r="G23" s="0" t="n"/>
    </row>
    <row r="24">
      <c r="B24" s="3" t="n"/>
      <c r="C24" s="0" t="n"/>
      <c r="D24" s="127" t="n"/>
      <c r="E24" s="0" t="n"/>
      <c r="F24" s="128" t="n"/>
      <c r="G24" s="0" t="n"/>
    </row>
    <row r="25">
      <c r="B25" s="3" t="n"/>
      <c r="C25" s="0" t="n"/>
      <c r="D25" s="127" t="n"/>
      <c r="E25" s="0" t="n"/>
      <c r="F25" s="128" t="n"/>
      <c r="G25" s="0" t="n"/>
    </row>
    <row r="26">
      <c r="B26" s="3" t="n"/>
      <c r="C26" s="0" t="n"/>
      <c r="D26" s="127" t="n"/>
      <c r="E26" s="0" t="n"/>
      <c r="F26" s="128" t="n"/>
      <c r="G26" s="0" t="n"/>
    </row>
    <row r="27">
      <c r="B27" s="3" t="n"/>
      <c r="C27" s="0" t="n"/>
      <c r="D27" s="127" t="n"/>
      <c r="E27" s="0" t="n"/>
      <c r="F27" s="128" t="n"/>
      <c r="G27" s="0" t="n"/>
    </row>
    <row r="28">
      <c r="B28" s="3" t="n"/>
      <c r="C28" s="0" t="n"/>
      <c r="D28" s="127" t="n"/>
      <c r="E28" s="0" t="n"/>
      <c r="F28" s="128" t="n"/>
      <c r="G28" s="0" t="n"/>
    </row>
    <row r="29">
      <c r="B29" s="3" t="n"/>
      <c r="C29" s="0" t="n"/>
      <c r="D29" s="127" t="n"/>
      <c r="E29" s="0" t="n"/>
      <c r="F29" s="128" t="n"/>
      <c r="G29" s="0" t="n"/>
    </row>
    <row r="30">
      <c r="B30" s="3" t="n"/>
      <c r="C30" s="0" t="n"/>
      <c r="D30" s="127" t="n"/>
      <c r="E30" s="0" t="n"/>
      <c r="F30" s="128" t="n"/>
      <c r="G30" s="0" t="n"/>
    </row>
    <row r="31">
      <c r="B31" s="3" t="n"/>
      <c r="C31" s="0" t="n"/>
      <c r="D31" s="127" t="n"/>
      <c r="E31" s="0" t="n"/>
      <c r="F31" s="128" t="n"/>
      <c r="G31" s="0" t="n"/>
    </row>
    <row r="32">
      <c r="B32" s="3" t="n"/>
      <c r="C32" s="0" t="n"/>
      <c r="D32" s="127" t="n"/>
      <c r="E32" s="0" t="n"/>
      <c r="F32" s="128" t="n"/>
      <c r="G32" s="0" t="n"/>
    </row>
    <row r="33">
      <c r="B33" s="3" t="n"/>
      <c r="C33" s="0" t="n"/>
      <c r="D33" s="127" t="n"/>
      <c r="E33" s="0" t="n"/>
      <c r="F33" s="128" t="n"/>
      <c r="G33" s="0" t="n"/>
    </row>
    <row r="34">
      <c r="B34" s="3" t="n"/>
      <c r="C34" s="0" t="n"/>
      <c r="D34" s="127" t="n"/>
      <c r="E34" s="0" t="n"/>
      <c r="F34" s="128" t="n"/>
      <c r="G34" s="0" t="n"/>
    </row>
    <row r="35">
      <c r="B35" s="3" t="n"/>
      <c r="C35" s="0" t="n"/>
      <c r="D35" s="127" t="n"/>
      <c r="E35" s="0" t="n"/>
      <c r="F35" s="128" t="n"/>
      <c r="G35" s="0" t="n"/>
    </row>
    <row r="36">
      <c r="B36" s="3" t="n"/>
      <c r="C36" s="0" t="n"/>
      <c r="D36" s="127" t="n"/>
      <c r="E36" s="0" t="n"/>
      <c r="F36" s="128" t="n"/>
      <c r="G36" s="0" t="n"/>
    </row>
    <row r="37">
      <c r="B37" s="3" t="n"/>
      <c r="C37" s="0" t="n"/>
      <c r="D37" s="127" t="n"/>
      <c r="E37" s="0" t="n"/>
      <c r="F37" s="128" t="n"/>
      <c r="G37" s="0" t="n"/>
    </row>
    <row r="38">
      <c r="B38" s="3" t="n"/>
      <c r="C38" s="0" t="n"/>
      <c r="D38" s="127" t="n"/>
      <c r="E38" s="0" t="n"/>
      <c r="F38" s="128" t="n"/>
      <c r="G38" s="0" t="n"/>
    </row>
    <row r="39">
      <c r="B39" s="3" t="n"/>
      <c r="C39" s="0" t="n"/>
      <c r="D39" s="127" t="n"/>
      <c r="E39" s="0" t="n"/>
      <c r="F39" s="128" t="n"/>
      <c r="G39" s="0" t="n"/>
    </row>
    <row r="40">
      <c r="B40" s="3" t="n"/>
      <c r="C40" s="0" t="n"/>
      <c r="D40" s="127" t="n"/>
      <c r="E40" s="0" t="n"/>
      <c r="F40" s="128" t="n"/>
      <c r="G40" s="0" t="n"/>
    </row>
    <row r="41">
      <c r="B41" s="3" t="n"/>
      <c r="C41" s="0" t="n"/>
      <c r="D41" s="127" t="n"/>
      <c r="E41" s="0" t="n"/>
      <c r="F41" s="128" t="n"/>
      <c r="G41" s="0" t="n"/>
    </row>
    <row r="42">
      <c r="B42" s="3" t="n"/>
      <c r="C42" s="0" t="n"/>
      <c r="D42" s="127" t="n"/>
      <c r="E42" s="0" t="n"/>
      <c r="F42" s="128" t="n"/>
      <c r="G42" s="0" t="n"/>
    </row>
    <row r="43">
      <c r="B43" s="3" t="n"/>
      <c r="C43" s="0" t="n"/>
      <c r="D43" s="127" t="n"/>
      <c r="E43" s="0" t="n"/>
      <c r="F43" s="128" t="n"/>
      <c r="G43" s="0" t="n"/>
    </row>
    <row r="44">
      <c r="B44" s="3" t="n"/>
      <c r="C44" s="0" t="n"/>
      <c r="D44" s="127" t="n"/>
      <c r="E44" s="0" t="n"/>
      <c r="F44" s="128" t="n"/>
      <c r="G44" s="0" t="n"/>
    </row>
    <row r="45">
      <c r="B45" s="3" t="n"/>
      <c r="C45" s="0" t="n"/>
      <c r="D45" s="127" t="n"/>
      <c r="E45" s="0" t="n"/>
      <c r="F45" s="128" t="n"/>
      <c r="G45" s="0" t="n"/>
    </row>
    <row r="46">
      <c r="B46" s="3" t="n"/>
      <c r="C46" s="0" t="n"/>
      <c r="D46" s="127" t="n"/>
      <c r="E46" s="0" t="n"/>
      <c r="F46" s="128" t="n"/>
      <c r="G46" s="0" t="n"/>
    </row>
    <row r="47">
      <c r="B47" s="3" t="n"/>
      <c r="C47" s="0" t="n"/>
      <c r="D47" s="127" t="n"/>
      <c r="E47" s="0" t="n"/>
      <c r="F47" s="128" t="n"/>
      <c r="G47" s="0" t="n"/>
    </row>
    <row r="48">
      <c r="B48" s="3" t="n"/>
      <c r="C48" s="0" t="n"/>
      <c r="D48" s="127" t="n"/>
      <c r="E48" s="0" t="n"/>
      <c r="F48" s="128" t="n"/>
      <c r="G48" s="0" t="n"/>
    </row>
    <row r="49">
      <c r="B49" s="3" t="n"/>
      <c r="C49" s="0" t="n"/>
      <c r="D49" s="127" t="n"/>
      <c r="E49" s="0" t="n"/>
      <c r="F49" s="128" t="n"/>
      <c r="G49" s="0" t="n"/>
    </row>
    <row r="50">
      <c r="B50" s="3" t="n"/>
      <c r="C50" s="0" t="n"/>
      <c r="D50" s="127" t="n"/>
      <c r="E50" s="0" t="n"/>
      <c r="F50" s="128" t="n"/>
      <c r="G50" s="0" t="n"/>
    </row>
    <row r="51">
      <c r="B51" s="3" t="n"/>
      <c r="C51" s="0" t="n"/>
      <c r="D51" s="127" t="n"/>
      <c r="E51" s="0" t="n"/>
      <c r="F51" s="128" t="n"/>
      <c r="G51" s="0" t="n"/>
    </row>
    <row r="52">
      <c r="B52" s="3" t="n"/>
      <c r="C52" s="0" t="n"/>
      <c r="D52" s="127" t="n"/>
      <c r="E52" s="0" t="n"/>
      <c r="F52" s="128" t="n"/>
      <c r="G52" s="0" t="n"/>
    </row>
    <row r="53">
      <c r="B53" s="3" t="n"/>
      <c r="C53" s="0" t="n"/>
      <c r="D53" s="127" t="n"/>
      <c r="E53" s="0" t="n"/>
      <c r="F53" s="128" t="n"/>
      <c r="G53" s="0" t="n"/>
    </row>
    <row r="54">
      <c r="B54" s="3" t="n"/>
      <c r="C54" s="0" t="n"/>
      <c r="D54" s="127" t="n"/>
      <c r="E54" s="0" t="n"/>
      <c r="F54" s="128" t="n"/>
      <c r="G54" s="0" t="n"/>
    </row>
    <row r="55">
      <c r="B55" s="3" t="n"/>
      <c r="C55" s="0" t="n"/>
      <c r="D55" s="127" t="n"/>
      <c r="E55" s="0" t="n"/>
      <c r="F55" s="128" t="n"/>
      <c r="G55" s="0" t="n"/>
    </row>
    <row r="56">
      <c r="B56" s="3" t="n"/>
      <c r="C56" s="0" t="n"/>
      <c r="D56" s="127" t="n"/>
      <c r="E56" s="0" t="n"/>
      <c r="F56" s="128" t="n"/>
      <c r="G56" s="0" t="n"/>
    </row>
    <row r="57">
      <c r="B57" s="3" t="n"/>
      <c r="C57" s="0" t="n"/>
      <c r="D57" s="127" t="n"/>
      <c r="E57" s="0" t="n"/>
      <c r="F57" s="128" t="n"/>
      <c r="G57" s="0" t="n"/>
    </row>
    <row r="58">
      <c r="B58" s="3" t="n"/>
      <c r="C58" s="0" t="n"/>
      <c r="D58" s="127" t="n"/>
      <c r="E58" s="0" t="n"/>
      <c r="F58" s="128" t="n"/>
      <c r="G58" s="0" t="n"/>
    </row>
    <row r="59">
      <c r="B59" s="3" t="n"/>
      <c r="C59" s="0" t="n"/>
      <c r="D59" s="127" t="n"/>
      <c r="E59" s="0" t="n"/>
      <c r="F59" s="128" t="n"/>
      <c r="G59" s="0" t="n"/>
    </row>
    <row r="60">
      <c r="B60" s="3" t="n"/>
      <c r="C60" s="0" t="n"/>
      <c r="D60" s="127" t="n"/>
      <c r="E60" s="0" t="n"/>
      <c r="F60" s="128" t="n"/>
      <c r="G60" s="0" t="n"/>
    </row>
    <row r="61">
      <c r="B61" s="3" t="n"/>
      <c r="C61" s="0" t="n"/>
      <c r="D61" s="127" t="n"/>
      <c r="E61" s="0" t="n"/>
      <c r="F61" s="128" t="n"/>
      <c r="G61" s="0" t="n"/>
    </row>
    <row r="62">
      <c r="B62" s="3" t="n"/>
      <c r="C62" s="0" t="n"/>
      <c r="D62" s="127" t="n"/>
      <c r="E62" s="0" t="n"/>
      <c r="F62" s="128" t="n"/>
      <c r="G62" s="0" t="n"/>
    </row>
    <row r="63">
      <c r="B63" s="3" t="n"/>
      <c r="C63" s="0" t="n"/>
      <c r="D63" s="127" t="n"/>
      <c r="E63" s="0" t="n"/>
      <c r="F63" s="128" t="n"/>
      <c r="G63" s="0" t="n"/>
    </row>
    <row r="64">
      <c r="B64" s="3" t="n"/>
      <c r="C64" s="0" t="n"/>
      <c r="D64" s="127" t="n"/>
      <c r="E64" s="0" t="n"/>
      <c r="F64" s="128" t="n"/>
      <c r="G64" s="0" t="n"/>
    </row>
    <row r="65">
      <c r="B65" s="3" t="n"/>
      <c r="C65" s="0" t="n"/>
      <c r="D65" s="127" t="n"/>
      <c r="E65" s="0" t="n"/>
      <c r="F65" s="128" t="n"/>
      <c r="G65" s="0" t="n"/>
    </row>
    <row r="66">
      <c r="B66" s="3" t="n"/>
      <c r="C66" s="0" t="n"/>
      <c r="D66" s="127" t="n"/>
      <c r="E66" s="0" t="n"/>
      <c r="F66" s="128" t="n"/>
      <c r="G66" s="0" t="n"/>
    </row>
    <row r="67">
      <c r="B67" s="3" t="n"/>
      <c r="C67" s="0" t="n"/>
      <c r="D67" s="127" t="n"/>
      <c r="E67" s="0" t="n"/>
      <c r="F67" s="128" t="n"/>
      <c r="G67" s="0" t="n"/>
    </row>
    <row r="68">
      <c r="B68" s="3" t="n"/>
      <c r="C68" s="0" t="n"/>
      <c r="D68" s="127" t="n"/>
      <c r="E68" s="0" t="n"/>
      <c r="F68" s="128" t="n"/>
      <c r="G68" s="0" t="n"/>
    </row>
    <row r="69">
      <c r="B69" s="3" t="n"/>
      <c r="C69" s="0" t="n"/>
      <c r="D69" s="127" t="n"/>
      <c r="E69" s="0" t="n"/>
      <c r="F69" s="128" t="n"/>
      <c r="G69" s="0" t="n"/>
    </row>
    <row r="70">
      <c r="B70" s="3" t="n"/>
      <c r="C70" s="0" t="n"/>
      <c r="D70" s="127" t="n"/>
      <c r="E70" s="0" t="n"/>
      <c r="F70" s="128" t="n"/>
      <c r="G70" s="0" t="n"/>
    </row>
    <row r="71">
      <c r="B71" s="3" t="n"/>
      <c r="C71" s="0" t="n"/>
      <c r="D71" s="127" t="n"/>
      <c r="E71" s="0" t="n"/>
      <c r="F71" s="128" t="n"/>
      <c r="G71" s="0" t="n"/>
    </row>
    <row r="72">
      <c r="B72" s="3" t="n"/>
      <c r="C72" s="0" t="n"/>
      <c r="D72" s="127" t="n"/>
      <c r="E72" s="0" t="n"/>
      <c r="F72" s="128" t="n"/>
      <c r="G72" s="0" t="n"/>
    </row>
    <row r="73">
      <c r="B73" s="3" t="n"/>
      <c r="C73" s="0" t="n"/>
      <c r="D73" s="127" t="n"/>
      <c r="E73" s="0" t="n"/>
      <c r="F73" s="128" t="n"/>
      <c r="G73" s="0" t="n"/>
    </row>
    <row r="74">
      <c r="B74" s="3" t="n"/>
      <c r="D74" s="127" t="n"/>
      <c r="F74" s="128" t="n"/>
    </row>
    <row r="76">
      <c r="C76" s="86" t="inlineStr">
        <is>
          <t>차변</t>
        </is>
      </c>
      <c r="D76" s="126" t="n"/>
      <c r="E76" s="86" t="inlineStr">
        <is>
          <t>대변</t>
        </is>
      </c>
      <c r="F76" s="126" t="n"/>
      <c r="G76" s="86" t="inlineStr">
        <is>
          <t>계정잔액</t>
        </is>
      </c>
    </row>
    <row r="77">
      <c r="A77" s="0" t="inlineStr">
        <is>
          <t>총기간</t>
        </is>
      </c>
      <c r="B77" s="1" t="inlineStr">
        <is>
          <t>계정별잔액(SFP)</t>
        </is>
      </c>
      <c r="C77" s="0" t="inlineStr">
        <is>
          <t>현금및현금성자산</t>
        </is>
      </c>
      <c r="D77" s="127">
        <f>SUMIF($C$7:$D$73,C77,$D$7:$D$73)</f>
        <v/>
      </c>
      <c r="E77" s="0" t="inlineStr">
        <is>
          <t>현금및현금성자산</t>
        </is>
      </c>
      <c r="F77" s="127">
        <f>SUMIF($E$7:$F$73,E77,$F$7:$F$73)</f>
        <v/>
      </c>
      <c r="G77" s="128">
        <f>D77-F77</f>
        <v/>
      </c>
    </row>
    <row r="78">
      <c r="C78" s="0" t="inlineStr">
        <is>
          <t>투자사채</t>
        </is>
      </c>
      <c r="D78" s="127">
        <f>SUMIF($C$7:$D$73,C78,$D$7:$D$73)</f>
        <v/>
      </c>
      <c r="F78" s="127">
        <f>SUMIF($E$7:$F$35,E78,$F$7:$F$35)</f>
        <v/>
      </c>
      <c r="G78" s="128">
        <f>D78-F78</f>
        <v/>
      </c>
    </row>
    <row r="79">
      <c r="C79" s="0" t="inlineStr">
        <is>
          <t>투자주식</t>
        </is>
      </c>
      <c r="D79" s="127">
        <f>SUMIF($C$7:$D$73,C79,$D$7:$D$73)</f>
        <v/>
      </c>
      <c r="F79" s="127">
        <f>SUMIF($E$7:$F$35,E79,$F$7:$F$35)</f>
        <v/>
      </c>
      <c r="G79" s="128">
        <f>D79-F79</f>
        <v/>
      </c>
    </row>
    <row r="80">
      <c r="D80" s="127" t="n"/>
      <c r="E80" s="0" t="inlineStr">
        <is>
          <t>출자금</t>
        </is>
      </c>
      <c r="F80" s="127">
        <f>SUMIF($E$7:$F$73,E80,$F$7:$F$73)</f>
        <v/>
      </c>
      <c r="G80" s="128">
        <f>D80-F80</f>
        <v/>
      </c>
    </row>
    <row r="81">
      <c r="C81" s="0" t="inlineStr">
        <is>
          <t>미지급비용</t>
        </is>
      </c>
      <c r="D81" s="127">
        <f>SUMIF($C$7:$D$73,C81,$D$7:$D$73)</f>
        <v/>
      </c>
      <c r="E81" s="0" t="inlineStr">
        <is>
          <t>미지급비용</t>
        </is>
      </c>
      <c r="F81" s="127">
        <f>SUMIF($E$7:$F$73,E81,$F$7:$F$73)</f>
        <v/>
      </c>
      <c r="G81" s="128">
        <f>D81-F81</f>
        <v/>
      </c>
    </row>
    <row r="82">
      <c r="D82" s="127" t="n"/>
      <c r="F82" s="127" t="n"/>
    </row>
    <row r="83">
      <c r="A83" s="0" t="inlineStr">
        <is>
          <t>총기간</t>
        </is>
      </c>
      <c r="B83" s="1" t="inlineStr">
        <is>
          <t>계정별잔액(IS)</t>
        </is>
      </c>
      <c r="C83" s="0" t="inlineStr">
        <is>
          <t>관리보수</t>
        </is>
      </c>
      <c r="D83" s="127">
        <f>SUMIF($C$7:$D$73,C83,$D$7:$D$73)</f>
        <v/>
      </c>
      <c r="F83" s="127">
        <f>SUMIF($E$7:$F$11,E83,$F$7:$F$11)</f>
        <v/>
      </c>
      <c r="G83" s="128">
        <f>-D83-F83</f>
        <v/>
      </c>
    </row>
    <row r="84">
      <c r="B84" s="1" t="n"/>
      <c r="C84" s="0" t="inlineStr">
        <is>
          <t>감사수수료</t>
        </is>
      </c>
      <c r="D84" s="127">
        <f>SUMIF($C$7:$D$73,C84,$D$7:$D$73)</f>
        <v/>
      </c>
      <c r="F84" s="127" t="n"/>
      <c r="G84" s="128">
        <f>-D84-F84</f>
        <v/>
      </c>
    </row>
    <row r="85">
      <c r="C85" s="0" t="inlineStr">
        <is>
          <t>수탁보수</t>
        </is>
      </c>
      <c r="D85" s="127">
        <f>SUMIF($C$7:$D$73,C85,$D$7:$D$73)</f>
        <v/>
      </c>
      <c r="F85" s="127">
        <f>SUMIF($E$7:$F$11,E85,$F$7:$F$11)</f>
        <v/>
      </c>
      <c r="G85" s="128">
        <f>-D85-F85</f>
        <v/>
      </c>
    </row>
    <row r="86">
      <c r="D86" s="127">
        <f>SUMIF($C$7:$D$35,C86,$D$7:$D$35)</f>
        <v/>
      </c>
      <c r="E86" s="0" t="inlineStr">
        <is>
          <t>이자수익</t>
        </is>
      </c>
      <c r="F86" s="127">
        <f>SUMIF($E$7:$F$73,E86,$F$7:$F$73)</f>
        <v/>
      </c>
      <c r="G86" s="128">
        <f>-D86-F86</f>
        <v/>
      </c>
    </row>
  </sheetData>
  <mergeCells count="4">
    <mergeCell ref="E76:F76"/>
    <mergeCell ref="E5:F5"/>
    <mergeCell ref="C76:D76"/>
    <mergeCell ref="C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33"/>
  <sheetViews>
    <sheetView tabSelected="1" topLeftCell="E1" zoomScale="85" zoomScaleNormal="85" workbookViewId="0">
      <selection activeCell="R5" sqref="R5"/>
    </sheetView>
  </sheetViews>
  <sheetFormatPr baseColWidth="8" defaultRowHeight="16.5"/>
  <cols>
    <col width="12.125" customWidth="1" style="7" min="2" max="2"/>
    <col width="4.125" customWidth="1" style="7" min="3" max="3"/>
    <col width="19" customWidth="1" style="125" min="4" max="4"/>
    <col width="15.75" customWidth="1" style="125" min="5" max="18"/>
  </cols>
  <sheetData>
    <row r="1">
      <c r="E1" s="1" t="inlineStr">
        <is>
          <t>전기값복사</t>
        </is>
      </c>
      <c r="F1" s="1" t="inlineStr">
        <is>
          <t>전기값복사</t>
        </is>
      </c>
      <c r="G1" s="1" t="inlineStr">
        <is>
          <t>전기값복사</t>
        </is>
      </c>
      <c r="H1" s="1" t="inlineStr">
        <is>
          <t>전기값복사</t>
        </is>
      </c>
      <c r="I1" s="1" t="inlineStr">
        <is>
          <t>전기값복사</t>
        </is>
      </c>
      <c r="J1" s="1" t="inlineStr">
        <is>
          <t>전기값복사</t>
        </is>
      </c>
      <c r="K1" s="1" t="inlineStr">
        <is>
          <t>전기값복사</t>
        </is>
      </c>
      <c r="L1" s="1" t="inlineStr">
        <is>
          <t>전기값복사</t>
        </is>
      </c>
      <c r="M1" s="1" t="inlineStr">
        <is>
          <t>전기값복사</t>
        </is>
      </c>
      <c r="N1" s="1" t="inlineStr">
        <is>
          <t>전기값복사</t>
        </is>
      </c>
      <c r="O1" s="1" t="inlineStr">
        <is>
          <t>전기값복사</t>
        </is>
      </c>
      <c r="P1" s="1" t="inlineStr">
        <is>
          <t>전기값복사</t>
        </is>
      </c>
      <c r="Q1" s="1" t="inlineStr">
        <is>
          <t>전기값복사</t>
        </is>
      </c>
      <c r="R1" s="1" t="n"/>
    </row>
    <row r="2"/>
    <row r="3">
      <c r="E3" s="1" t="inlineStr">
        <is>
          <t>기준일</t>
        </is>
      </c>
      <c r="F3" s="1" t="inlineStr">
        <is>
          <t>기준일</t>
        </is>
      </c>
      <c r="G3" s="1" t="inlineStr">
        <is>
          <t>기준일</t>
        </is>
      </c>
      <c r="H3" s="1" t="inlineStr">
        <is>
          <t>기준일</t>
        </is>
      </c>
      <c r="I3" s="1" t="inlineStr">
        <is>
          <t>기준일</t>
        </is>
      </c>
      <c r="J3" s="1" t="inlineStr">
        <is>
          <t>기준일</t>
        </is>
      </c>
      <c r="K3" s="1" t="inlineStr">
        <is>
          <t>기준일</t>
        </is>
      </c>
      <c r="L3" s="1" t="inlineStr">
        <is>
          <t>기준일</t>
        </is>
      </c>
      <c r="M3" s="1" t="inlineStr">
        <is>
          <t>기준일</t>
        </is>
      </c>
      <c r="N3" s="1" t="inlineStr">
        <is>
          <t>기준일</t>
        </is>
      </c>
      <c r="O3" s="1" t="inlineStr">
        <is>
          <t>기준일</t>
        </is>
      </c>
      <c r="P3" s="1" t="inlineStr">
        <is>
          <t>기준일</t>
        </is>
      </c>
      <c r="Q3" s="1" t="inlineStr">
        <is>
          <t>기준일</t>
        </is>
      </c>
      <c r="R3" s="1" t="inlineStr">
        <is>
          <t>기준일</t>
        </is>
      </c>
    </row>
    <row r="4">
      <c r="E4" s="12" t="n">
        <v>45657</v>
      </c>
      <c r="F4" s="12" t="n">
        <v>45688</v>
      </c>
      <c r="G4" s="12" t="n">
        <v>45716</v>
      </c>
      <c r="H4" s="12" t="n">
        <v>45747</v>
      </c>
      <c r="I4" s="12" t="n">
        <v>45777</v>
      </c>
      <c r="J4" s="12" t="n">
        <v>45808</v>
      </c>
      <c r="K4" s="12" t="n">
        <v>45838</v>
      </c>
      <c r="L4" s="12" t="n">
        <v>45869</v>
      </c>
      <c r="M4" s="12" t="n">
        <v>45900</v>
      </c>
      <c r="N4" s="12" t="n">
        <v>45930</v>
      </c>
      <c r="O4" s="12" t="n">
        <v>45961</v>
      </c>
      <c r="P4" s="12" t="n">
        <v>45991</v>
      </c>
      <c r="Q4" s="12" t="n">
        <v>46022</v>
      </c>
      <c r="R4" s="12" t="n">
        <v>46053</v>
      </c>
    </row>
    <row r="5">
      <c r="B5" s="7" t="n">
        <v>1</v>
      </c>
      <c r="D5" s="0" t="inlineStr">
        <is>
          <t>유동자산</t>
        </is>
      </c>
      <c r="E5" s="128" t="n">
        <v>1011026708</v>
      </c>
      <c r="F5" s="128" t="n">
        <v>1010565450</v>
      </c>
      <c r="G5" s="128" t="n">
        <v>522032230</v>
      </c>
      <c r="H5" s="128" t="n">
        <v>1499313892</v>
      </c>
      <c r="I5" s="128" t="n">
        <v>502436498</v>
      </c>
      <c r="J5" s="128" t="n">
        <v>102513302</v>
      </c>
      <c r="K5" s="128" t="n">
        <v>38486854</v>
      </c>
      <c r="L5" s="128" t="n">
        <v>38490118</v>
      </c>
      <c r="M5" s="128" t="n">
        <v>38493070</v>
      </c>
      <c r="N5" s="128" t="n">
        <v>37396688</v>
      </c>
      <c r="O5" s="128" t="n">
        <v>190432707</v>
      </c>
      <c r="P5" s="128" t="n">
        <v>190455686</v>
      </c>
      <c r="Q5" s="128" t="n">
        <v>1877849</v>
      </c>
      <c r="R5" s="128">
        <f>R6</f>
        <v/>
      </c>
    </row>
    <row r="6">
      <c r="D6" s="0" t="inlineStr">
        <is>
          <t>당좌자산</t>
        </is>
      </c>
      <c r="E6" s="128" t="n">
        <v>1011026708</v>
      </c>
      <c r="F6" s="128" t="n">
        <v>1010565450</v>
      </c>
      <c r="G6" s="128" t="n">
        <v>522032230</v>
      </c>
      <c r="H6" s="128" t="n">
        <v>485717184</v>
      </c>
      <c r="I6" s="128" t="n">
        <v>502436498</v>
      </c>
      <c r="J6" s="128" t="n">
        <v>102513302</v>
      </c>
      <c r="K6" s="128" t="n">
        <v>38486854</v>
      </c>
      <c r="L6" s="128" t="n">
        <v>38490118</v>
      </c>
      <c r="M6" s="128" t="n">
        <v>38493070</v>
      </c>
      <c r="N6" s="128" t="n">
        <v>37396688</v>
      </c>
      <c r="O6" s="128" t="n">
        <v>190432707</v>
      </c>
      <c r="P6" s="128" t="n">
        <v>190455686</v>
      </c>
      <c r="Q6" s="128" t="n">
        <v>1877849</v>
      </c>
      <c r="R6" s="128">
        <f>R7</f>
        <v/>
      </c>
    </row>
    <row r="7">
      <c r="D7" s="0" t="inlineStr">
        <is>
          <t>현금및현금성자산</t>
        </is>
      </c>
      <c r="E7" s="129" t="n">
        <v>1011026708</v>
      </c>
      <c r="F7" s="129" t="n">
        <v>1010565450</v>
      </c>
      <c r="G7" s="129" t="n">
        <v>522032230</v>
      </c>
      <c r="H7" s="129" t="n">
        <v>485717184</v>
      </c>
      <c r="I7" s="129" t="n">
        <v>502436498</v>
      </c>
      <c r="J7" s="129" t="n">
        <v>102513302</v>
      </c>
      <c r="K7" s="129" t="n">
        <v>38486854</v>
      </c>
      <c r="L7" s="129" t="n">
        <v>38490118</v>
      </c>
      <c r="M7" s="129" t="n">
        <v>38493070</v>
      </c>
      <c r="N7" s="129" t="n">
        <v>37396688</v>
      </c>
      <c r="O7" s="129" t="n">
        <v>190432707</v>
      </c>
      <c r="P7" s="129" t="n">
        <v>190455686</v>
      </c>
      <c r="Q7" s="129" t="n">
        <v>1877849</v>
      </c>
      <c r="R7" s="129">
        <f>가결산전표!G77</f>
        <v/>
      </c>
    </row>
    <row r="8"/>
    <row r="9">
      <c r="B9" s="7" t="n">
        <v>2</v>
      </c>
      <c r="D9" s="0" t="inlineStr">
        <is>
          <t>창업투자자산</t>
        </is>
      </c>
      <c r="E9" s="128" t="n">
        <v>0</v>
      </c>
      <c r="F9" s="128" t="n">
        <v>0</v>
      </c>
      <c r="G9" s="128" t="n">
        <v>1500000000</v>
      </c>
      <c r="H9" s="128" t="n">
        <v>0</v>
      </c>
      <c r="I9" s="128" t="n">
        <v>5499882000</v>
      </c>
      <c r="J9" s="128" t="n">
        <v>5899881600</v>
      </c>
      <c r="K9" s="128" t="n">
        <v>5899881600</v>
      </c>
      <c r="L9" s="128" t="n">
        <v>5899881600</v>
      </c>
      <c r="M9" s="128" t="n">
        <v>5899881600</v>
      </c>
      <c r="N9" s="128" t="n">
        <v>5899881600</v>
      </c>
      <c r="O9" s="128" t="n">
        <v>7199641600</v>
      </c>
      <c r="P9" s="128" t="n">
        <v>7199641600</v>
      </c>
      <c r="Q9" s="128" t="n">
        <v>8519200880</v>
      </c>
      <c r="R9" s="128">
        <f>R10</f>
        <v/>
      </c>
    </row>
    <row r="10">
      <c r="D10" s="0" t="inlineStr">
        <is>
          <t>투자실적자산</t>
        </is>
      </c>
      <c r="E10" s="128" t="n">
        <v>0</v>
      </c>
      <c r="F10" s="128" t="n">
        <v>0</v>
      </c>
      <c r="G10" s="128" t="n">
        <v>1500000000</v>
      </c>
      <c r="H10" s="128" t="n">
        <v>3999882000</v>
      </c>
      <c r="I10" s="128" t="n">
        <v>5499882000</v>
      </c>
      <c r="J10" s="128" t="n">
        <v>5899881600</v>
      </c>
      <c r="K10" s="128" t="n">
        <v>5899881600</v>
      </c>
      <c r="L10" s="128" t="n">
        <v>5899881600</v>
      </c>
      <c r="M10" s="128" t="n">
        <v>5899881600</v>
      </c>
      <c r="N10" s="128" t="n">
        <v>5899881600</v>
      </c>
      <c r="O10" s="128" t="n">
        <v>7199641600</v>
      </c>
      <c r="P10" s="128" t="n">
        <v>7199641600</v>
      </c>
      <c r="Q10" s="128" t="n">
        <v>8519200880</v>
      </c>
      <c r="R10" s="128">
        <f>R12+R11</f>
        <v/>
      </c>
    </row>
    <row r="11">
      <c r="D11" s="0" t="inlineStr">
        <is>
          <t>투자주식</t>
        </is>
      </c>
      <c r="E11" s="128" t="n">
        <v>0</v>
      </c>
      <c r="F11" s="128" t="n">
        <v>0</v>
      </c>
      <c r="G11" s="128" t="n">
        <v>0</v>
      </c>
      <c r="H11" s="128" t="n">
        <v>2499882000</v>
      </c>
      <c r="I11" s="128" t="n">
        <v>2499882000</v>
      </c>
      <c r="J11" s="128" t="n">
        <v>2899881600</v>
      </c>
      <c r="K11" s="128" t="n">
        <v>2899881600</v>
      </c>
      <c r="L11" s="128" t="n">
        <v>2899881600</v>
      </c>
      <c r="M11" s="128" t="n">
        <v>2899881600</v>
      </c>
      <c r="N11" s="128" t="n">
        <v>2899881600</v>
      </c>
      <c r="O11" s="128" t="n">
        <v>3699641600</v>
      </c>
      <c r="P11" s="128" t="n">
        <v>3699641600</v>
      </c>
      <c r="Q11" s="128" t="n">
        <v>5019200880</v>
      </c>
      <c r="R11" s="128">
        <f>가결산전표!G79</f>
        <v/>
      </c>
    </row>
    <row r="12">
      <c r="D12" s="0" t="inlineStr">
        <is>
          <t>투자사채</t>
        </is>
      </c>
      <c r="E12" s="129" t="n">
        <v>0</v>
      </c>
      <c r="F12" s="129" t="n">
        <v>0</v>
      </c>
      <c r="G12" s="129" t="n">
        <v>1500000000</v>
      </c>
      <c r="H12" s="129" t="n">
        <v>1500000000</v>
      </c>
      <c r="I12" s="129" t="n">
        <v>3000000000</v>
      </c>
      <c r="J12" s="129" t="n">
        <v>3000000000</v>
      </c>
      <c r="K12" s="129" t="n">
        <v>3000000000</v>
      </c>
      <c r="L12" s="129" t="n">
        <v>3000000000</v>
      </c>
      <c r="M12" s="129" t="n">
        <v>3000000000</v>
      </c>
      <c r="N12" s="129" t="n">
        <v>3000000000</v>
      </c>
      <c r="O12" s="129" t="n">
        <v>3500000000</v>
      </c>
      <c r="P12" s="129" t="n">
        <v>3500000000</v>
      </c>
      <c r="Q12" s="129" t="n">
        <v>3500000000</v>
      </c>
      <c r="R12" s="129">
        <f>가결산전표!G78</f>
        <v/>
      </c>
    </row>
    <row r="13"/>
    <row r="14">
      <c r="B14" s="7" t="n">
        <v>3</v>
      </c>
      <c r="D14" s="0" t="inlineStr">
        <is>
          <t>경영지원자산</t>
        </is>
      </c>
      <c r="E14" s="128" t="n">
        <v>0</v>
      </c>
      <c r="F14" s="128" t="n">
        <v>0</v>
      </c>
      <c r="G14" s="128" t="n">
        <v>0</v>
      </c>
      <c r="H14" s="128" t="n">
        <v>0</v>
      </c>
      <c r="I14" s="128" t="n">
        <v>0</v>
      </c>
      <c r="J14" s="128" t="n">
        <v>0</v>
      </c>
      <c r="K14" s="128" t="n">
        <v>0</v>
      </c>
      <c r="L14" s="128" t="n">
        <v>0</v>
      </c>
      <c r="M14" s="128" t="n">
        <v>0</v>
      </c>
      <c r="N14" s="128" t="n">
        <v>0</v>
      </c>
      <c r="O14" s="128" t="n">
        <v>0</v>
      </c>
      <c r="P14" s="128" t="n">
        <v>0</v>
      </c>
      <c r="Q14" s="128" t="n">
        <v>0</v>
      </c>
      <c r="R14" s="128" t="n">
        <v>0</v>
      </c>
    </row>
    <row r="15">
      <c r="D15" s="0" t="inlineStr">
        <is>
          <t>운용투자주식</t>
        </is>
      </c>
      <c r="E15" s="129" t="n">
        <v>0</v>
      </c>
      <c r="F15" s="129" t="n">
        <v>0</v>
      </c>
      <c r="G15" s="129" t="n">
        <v>0</v>
      </c>
      <c r="H15" s="129" t="n">
        <v>0</v>
      </c>
      <c r="I15" s="129" t="n">
        <v>0</v>
      </c>
      <c r="J15" s="129" t="n">
        <v>0</v>
      </c>
      <c r="K15" s="129" t="n">
        <v>0</v>
      </c>
      <c r="L15" s="129" t="n">
        <v>0</v>
      </c>
      <c r="M15" s="129" t="n">
        <v>0</v>
      </c>
      <c r="N15" s="129" t="n">
        <v>0</v>
      </c>
      <c r="O15" s="129" t="n">
        <v>0</v>
      </c>
      <c r="P15" s="129" t="n">
        <v>0</v>
      </c>
      <c r="Q15" s="129" t="n">
        <v>0</v>
      </c>
      <c r="R15" s="129" t="n">
        <v>0</v>
      </c>
    </row>
    <row r="16"/>
    <row r="17">
      <c r="D17" s="0" t="inlineStr">
        <is>
          <t>비유동자산</t>
        </is>
      </c>
      <c r="E17" s="127" t="n">
        <v>0</v>
      </c>
      <c r="F17" s="127" t="n">
        <v>0</v>
      </c>
      <c r="G17" s="127" t="n">
        <v>0</v>
      </c>
      <c r="H17" s="127" t="n">
        <v>0</v>
      </c>
      <c r="I17" s="127" t="n">
        <v>0</v>
      </c>
      <c r="J17" s="127" t="n">
        <v>0</v>
      </c>
      <c r="K17" s="127" t="n">
        <v>0</v>
      </c>
      <c r="L17" s="127" t="n">
        <v>0</v>
      </c>
      <c r="M17" s="127" t="n">
        <v>0</v>
      </c>
      <c r="N17" s="127" t="n">
        <v>0</v>
      </c>
      <c r="O17" s="127" t="n">
        <v>0</v>
      </c>
      <c r="P17" s="127" t="n">
        <v>0</v>
      </c>
      <c r="Q17" s="127" t="n">
        <v>0</v>
      </c>
      <c r="R17" s="127" t="n">
        <v>0</v>
      </c>
    </row>
    <row r="18"/>
    <row r="19" customFormat="1" s="9">
      <c r="B19" s="8" t="inlineStr">
        <is>
          <t>4=1+2+3</t>
        </is>
      </c>
      <c r="C19" s="8" t="n"/>
      <c r="D19" s="9" t="inlineStr">
        <is>
          <t>자산총계</t>
        </is>
      </c>
      <c r="E19" s="130" t="n">
        <v>1011026708</v>
      </c>
      <c r="F19" s="130" t="n">
        <v>1010565450</v>
      </c>
      <c r="G19" s="130" t="n">
        <v>2022032230</v>
      </c>
      <c r="H19" s="130" t="n">
        <v>1499079446</v>
      </c>
      <c r="I19" s="130" t="n">
        <v>6002318498</v>
      </c>
      <c r="J19" s="130" t="n">
        <v>6002394902</v>
      </c>
      <c r="K19" s="130" t="n">
        <v>5938368454</v>
      </c>
      <c r="L19" s="130" t="n">
        <v>5938371718</v>
      </c>
      <c r="M19" s="130" t="n">
        <v>5938374670</v>
      </c>
      <c r="N19" s="130" t="n">
        <v>5937278288</v>
      </c>
      <c r="O19" s="130" t="n">
        <v>7390074307</v>
      </c>
      <c r="P19" s="130" t="n">
        <v>7390097286</v>
      </c>
      <c r="Q19" s="130" t="n">
        <v>8521078729</v>
      </c>
      <c r="R19" s="130">
        <f>R5+R9+R14</f>
        <v/>
      </c>
    </row>
    <row r="20"/>
    <row r="21">
      <c r="B21" s="7" t="n">
        <v>5</v>
      </c>
      <c r="D21" s="0" t="inlineStr">
        <is>
          <t>유동부채</t>
        </is>
      </c>
      <c r="E21" s="127" t="n">
        <v>692465.7534246575</v>
      </c>
      <c r="F21" s="127" t="n">
        <v>692466</v>
      </c>
      <c r="G21" s="127" t="n">
        <v>692465.7534246575</v>
      </c>
      <c r="H21" s="127" t="n">
        <v>0</v>
      </c>
      <c r="I21" s="127" t="n">
        <v>0</v>
      </c>
      <c r="J21" s="127" t="n">
        <v>0</v>
      </c>
      <c r="K21" s="127" t="n">
        <v>0</v>
      </c>
      <c r="L21" s="127" t="n">
        <v>0</v>
      </c>
      <c r="M21" s="127" t="n">
        <v>0</v>
      </c>
      <c r="N21" s="127" t="n">
        <v>0</v>
      </c>
      <c r="O21" s="127" t="n">
        <v>0</v>
      </c>
      <c r="P21" s="127" t="n">
        <v>0</v>
      </c>
      <c r="Q21" s="127" t="n">
        <v>63706849</v>
      </c>
      <c r="R21" s="127">
        <f>R22</f>
        <v/>
      </c>
    </row>
    <row r="22">
      <c r="D22" s="0" t="inlineStr">
        <is>
          <t>미지급비용</t>
        </is>
      </c>
      <c r="E22" s="127" t="n">
        <v>692465.7534246575</v>
      </c>
      <c r="F22" s="127" t="n">
        <v>692466</v>
      </c>
      <c r="G22" s="127" t="n">
        <v>692465.7534246575</v>
      </c>
      <c r="H22" s="127" t="n">
        <v>0</v>
      </c>
      <c r="I22" s="127" t="n">
        <v>0</v>
      </c>
      <c r="J22" s="127" t="n">
        <v>0</v>
      </c>
      <c r="K22" s="127" t="n">
        <v>0</v>
      </c>
      <c r="L22" s="127" t="n">
        <v>0</v>
      </c>
      <c r="M22" s="127" t="n">
        <v>0</v>
      </c>
      <c r="N22" s="127" t="n">
        <v>0</v>
      </c>
      <c r="O22" s="127" t="n">
        <v>0</v>
      </c>
      <c r="P22" s="127" t="n">
        <v>0</v>
      </c>
      <c r="Q22" s="127" t="n">
        <v>63706849</v>
      </c>
      <c r="R22" s="127">
        <f>-가결산전표!H81</f>
        <v/>
      </c>
    </row>
    <row r="23">
      <c r="E23" s="127" t="n"/>
      <c r="F23" s="127" t="n"/>
      <c r="G23" s="127" t="n"/>
      <c r="H23" s="127" t="n"/>
      <c r="I23" s="127" t="n"/>
      <c r="J23" s="127" t="n"/>
      <c r="K23" s="127" t="n"/>
      <c r="L23" s="127" t="n"/>
      <c r="M23" s="127" t="n"/>
      <c r="N23" s="127" t="n"/>
      <c r="O23" s="127" t="n"/>
      <c r="P23" s="127" t="n"/>
      <c r="Q23" s="127" t="n"/>
      <c r="R23" s="127" t="n"/>
    </row>
    <row r="24">
      <c r="B24" s="7" t="n">
        <v>6</v>
      </c>
      <c r="D24" s="0" t="inlineStr">
        <is>
          <t>비유동부채</t>
        </is>
      </c>
      <c r="E24" s="127" t="n">
        <v>0</v>
      </c>
      <c r="F24" s="127" t="n">
        <v>0</v>
      </c>
      <c r="G24" s="127" t="n">
        <v>0</v>
      </c>
      <c r="H24" s="127" t="n">
        <v>0</v>
      </c>
      <c r="I24" s="127" t="n">
        <v>0</v>
      </c>
      <c r="J24" s="127" t="n">
        <v>0</v>
      </c>
      <c r="K24" s="127" t="n">
        <v>0</v>
      </c>
      <c r="L24" s="127" t="n">
        <v>0</v>
      </c>
      <c r="M24" s="127" t="n">
        <v>0</v>
      </c>
      <c r="N24" s="127" t="n">
        <v>0</v>
      </c>
      <c r="O24" s="127" t="n">
        <v>0</v>
      </c>
      <c r="P24" s="127" t="n">
        <v>0</v>
      </c>
      <c r="Q24" s="127" t="n">
        <v>0</v>
      </c>
      <c r="R24" s="127" t="n">
        <v>0</v>
      </c>
    </row>
    <row r="25" customFormat="1" s="9">
      <c r="B25" s="8" t="inlineStr">
        <is>
          <t>7=5+6</t>
        </is>
      </c>
      <c r="C25" s="8" t="n"/>
      <c r="D25" s="9" t="inlineStr">
        <is>
          <t>부채총계</t>
        </is>
      </c>
      <c r="E25" s="131" t="n">
        <v>692465.7534246575</v>
      </c>
      <c r="F25" s="131" t="n">
        <v>692466</v>
      </c>
      <c r="G25" s="131" t="n">
        <v>692465.7534246575</v>
      </c>
      <c r="H25" s="131" t="n">
        <v>0</v>
      </c>
      <c r="I25" s="131" t="n">
        <v>0</v>
      </c>
      <c r="J25" s="131" t="n">
        <v>0</v>
      </c>
      <c r="K25" s="131" t="n">
        <v>0</v>
      </c>
      <c r="L25" s="131" t="n">
        <v>0</v>
      </c>
      <c r="M25" s="131" t="n">
        <v>0</v>
      </c>
      <c r="N25" s="131" t="n">
        <v>0</v>
      </c>
      <c r="O25" s="131" t="n">
        <v>0</v>
      </c>
      <c r="P25" s="131" t="n">
        <v>0</v>
      </c>
      <c r="Q25" s="131" t="n">
        <v>63706849</v>
      </c>
      <c r="R25" s="131">
        <f>R21+R24</f>
        <v/>
      </c>
    </row>
    <row r="26"/>
    <row r="27"/>
    <row r="28">
      <c r="B28" s="7" t="n">
        <v>8</v>
      </c>
      <c r="D28" s="0" t="inlineStr">
        <is>
          <t>출자금</t>
        </is>
      </c>
      <c r="E28" s="128" t="n">
        <v>1011000000</v>
      </c>
      <c r="F28" s="128" t="n">
        <v>1011000000</v>
      </c>
      <c r="G28" s="128" t="n">
        <v>2022000000</v>
      </c>
      <c r="H28" s="128" t="n">
        <v>1500000000</v>
      </c>
      <c r="I28" s="128" t="n">
        <v>6066000000</v>
      </c>
      <c r="J28" s="128" t="n">
        <v>6066000000</v>
      </c>
      <c r="K28" s="128" t="n">
        <v>6066000000</v>
      </c>
      <c r="L28" s="128" t="n">
        <v>6066000000</v>
      </c>
      <c r="M28" s="128" t="n">
        <v>6066000000</v>
      </c>
      <c r="N28" s="128" t="n">
        <v>6066000000</v>
      </c>
      <c r="O28" s="128" t="n">
        <v>7582500000</v>
      </c>
      <c r="P28" s="128" t="n">
        <v>7582500000</v>
      </c>
      <c r="Q28" s="128" t="n">
        <v>8716500000</v>
      </c>
      <c r="R28" s="128">
        <f>-가결산전표!G80</f>
        <v/>
      </c>
    </row>
    <row r="29">
      <c r="B29" s="7" t="n">
        <v>9</v>
      </c>
      <c r="D29" s="0" t="inlineStr">
        <is>
          <t>결손금</t>
        </is>
      </c>
      <c r="E29" s="127" t="n">
        <v>665757.7534246575</v>
      </c>
      <c r="F29" s="127" t="n">
        <v>1127016</v>
      </c>
      <c r="G29" s="127" t="n">
        <v>660235.7534246575</v>
      </c>
      <c r="H29" s="127" t="n">
        <v>0</v>
      </c>
      <c r="I29" s="127" t="n">
        <v>63681502</v>
      </c>
      <c r="J29" s="127" t="n">
        <v>63605098</v>
      </c>
      <c r="K29" s="127" t="n">
        <v>127631546</v>
      </c>
      <c r="L29" s="127" t="n">
        <v>127628282</v>
      </c>
      <c r="M29" s="127" t="n">
        <v>127625330</v>
      </c>
      <c r="N29" s="127" t="n">
        <v>128721712</v>
      </c>
      <c r="O29" s="127" t="n">
        <v>192425693</v>
      </c>
      <c r="P29" s="127" t="n">
        <v>192402714</v>
      </c>
      <c r="Q29" s="127" t="n">
        <v>259128120</v>
      </c>
      <c r="R29" s="127">
        <f>-SUM(IS!$E$24:'IS'!R24)</f>
        <v/>
      </c>
    </row>
    <row r="30"/>
    <row r="31" customFormat="1" s="9">
      <c r="B31" s="8" t="inlineStr">
        <is>
          <t>10=8-9</t>
        </is>
      </c>
      <c r="C31" s="8" t="n"/>
      <c r="D31" s="9" t="inlineStr">
        <is>
          <t>자본총계</t>
        </is>
      </c>
      <c r="E31" s="130" t="n">
        <v>1010334242.246575</v>
      </c>
      <c r="F31" s="130" t="n">
        <v>1009872984</v>
      </c>
      <c r="G31" s="130" t="n">
        <v>2021339764.246575</v>
      </c>
      <c r="H31" s="130" t="n">
        <v>1500000000</v>
      </c>
      <c r="I31" s="130" t="n">
        <v>6002318498</v>
      </c>
      <c r="J31" s="130" t="n">
        <v>6002394902</v>
      </c>
      <c r="K31" s="130" t="n">
        <v>5938368454</v>
      </c>
      <c r="L31" s="130" t="n">
        <v>5938371718</v>
      </c>
      <c r="M31" s="130" t="n">
        <v>5938374670</v>
      </c>
      <c r="N31" s="130" t="n">
        <v>5937278288</v>
      </c>
      <c r="O31" s="130" t="n">
        <v>7390074307</v>
      </c>
      <c r="P31" s="130" t="n">
        <v>7390097286</v>
      </c>
      <c r="Q31" s="130" t="n">
        <v>8457371880</v>
      </c>
      <c r="R31" s="130">
        <f>R28-R29</f>
        <v/>
      </c>
    </row>
    <row r="32"/>
    <row r="33">
      <c r="B33" s="7" t="inlineStr">
        <is>
          <t>검증</t>
        </is>
      </c>
      <c r="E33" s="128" t="n">
        <v>-1.30385160446167e-08</v>
      </c>
      <c r="F33" s="128" t="n">
        <v>0</v>
      </c>
      <c r="G33" s="128" t="n">
        <v>-1.30385160446167e-08</v>
      </c>
      <c r="H33" s="128" t="n">
        <v>0</v>
      </c>
      <c r="I33" s="128">
        <f>I19-I31-I25</f>
        <v/>
      </c>
      <c r="J33" s="128" t="n">
        <v>0</v>
      </c>
      <c r="K33" s="128" t="n">
        <v>0</v>
      </c>
      <c r="L33" s="128" t="n">
        <v>0</v>
      </c>
      <c r="M33" s="128" t="n">
        <v>0</v>
      </c>
      <c r="N33" s="128" t="n">
        <v>0</v>
      </c>
      <c r="O33" s="128" t="n">
        <v>0</v>
      </c>
      <c r="P33" s="128" t="n">
        <v>0</v>
      </c>
      <c r="Q33" s="128" t="n">
        <v>0</v>
      </c>
      <c r="R33" s="128">
        <f>R19-R31-R25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4"/>
  <sheetViews>
    <sheetView topLeftCell="C5" zoomScale="85" zoomScaleNormal="85" workbookViewId="0">
      <selection activeCell="R29" sqref="R29"/>
    </sheetView>
  </sheetViews>
  <sheetFormatPr baseColWidth="8" defaultRowHeight="16.5"/>
  <cols>
    <col width="12.125" customWidth="1" style="7" min="2" max="2"/>
    <col width="4.125" customWidth="1" style="7" min="3" max="3"/>
    <col width="19" customWidth="1" style="125" min="4" max="4"/>
    <col width="15.75" customWidth="1" style="125" min="5" max="5"/>
    <col width="12.75" customWidth="1" style="125" min="6" max="8"/>
    <col width="14.625" customWidth="1" style="125" min="9" max="18"/>
  </cols>
  <sheetData>
    <row r="1">
      <c r="E1" s="1" t="inlineStr">
        <is>
          <t>전기 값복사</t>
        </is>
      </c>
      <c r="F1" s="1" t="inlineStr">
        <is>
          <t>전기 값복사</t>
        </is>
      </c>
      <c r="G1" s="1" t="inlineStr">
        <is>
          <t>전기 값복사</t>
        </is>
      </c>
      <c r="H1" s="1" t="inlineStr">
        <is>
          <t>전기 값복사</t>
        </is>
      </c>
      <c r="I1" s="1" t="inlineStr">
        <is>
          <t>전기 값복사</t>
        </is>
      </c>
      <c r="J1" s="1" t="inlineStr">
        <is>
          <t>전기 값복사</t>
        </is>
      </c>
      <c r="K1" s="1" t="inlineStr">
        <is>
          <t>전기 값복사</t>
        </is>
      </c>
      <c r="L1" s="1" t="inlineStr">
        <is>
          <t>전기 값복사</t>
        </is>
      </c>
      <c r="M1" s="1" t="inlineStr">
        <is>
          <t>전기 값복사</t>
        </is>
      </c>
      <c r="N1" s="1" t="inlineStr">
        <is>
          <t>전기 값복사</t>
        </is>
      </c>
      <c r="O1" s="1" t="inlineStr">
        <is>
          <t>전기 값복사</t>
        </is>
      </c>
      <c r="P1" s="1" t="inlineStr">
        <is>
          <t>전기 값복사</t>
        </is>
      </c>
      <c r="Q1" s="1" t="inlineStr">
        <is>
          <t>전기 값복사</t>
        </is>
      </c>
    </row>
    <row r="2"/>
    <row r="3">
      <c r="E3" s="1" t="inlineStr">
        <is>
          <t>기준일</t>
        </is>
      </c>
      <c r="F3" s="1" t="inlineStr">
        <is>
          <t>기준일</t>
        </is>
      </c>
      <c r="G3" s="1" t="inlineStr">
        <is>
          <t>기준일</t>
        </is>
      </c>
      <c r="H3" s="1" t="inlineStr">
        <is>
          <t>기준일</t>
        </is>
      </c>
      <c r="I3" s="1" t="inlineStr">
        <is>
          <t>기준일</t>
        </is>
      </c>
      <c r="J3" s="1" t="inlineStr">
        <is>
          <t>기준일</t>
        </is>
      </c>
      <c r="K3" s="1" t="inlineStr">
        <is>
          <t>기준일</t>
        </is>
      </c>
      <c r="L3" s="1" t="inlineStr">
        <is>
          <t>기준일</t>
        </is>
      </c>
      <c r="M3" s="1" t="inlineStr">
        <is>
          <t>기준일</t>
        </is>
      </c>
      <c r="N3" s="1" t="inlineStr">
        <is>
          <t>기준일</t>
        </is>
      </c>
      <c r="O3" s="1" t="inlineStr">
        <is>
          <t>기준일</t>
        </is>
      </c>
      <c r="P3" s="1" t="inlineStr">
        <is>
          <t>기준일</t>
        </is>
      </c>
      <c r="Q3" s="1" t="inlineStr">
        <is>
          <t>기준일</t>
        </is>
      </c>
      <c r="R3" s="1" t="inlineStr">
        <is>
          <t>기준일</t>
        </is>
      </c>
    </row>
    <row r="4">
      <c r="E4" s="6" t="n">
        <v>45637</v>
      </c>
      <c r="F4" s="6" t="n">
        <v>45658</v>
      </c>
      <c r="G4" s="6" t="n">
        <v>45689</v>
      </c>
      <c r="H4" s="6" t="n">
        <v>45717</v>
      </c>
      <c r="I4" s="6" t="n">
        <v>45748</v>
      </c>
      <c r="J4" s="6" t="n">
        <v>45778</v>
      </c>
      <c r="K4" s="6" t="n">
        <v>45809</v>
      </c>
      <c r="L4" s="6" t="n">
        <v>45839</v>
      </c>
      <c r="M4" s="6" t="n">
        <v>45870</v>
      </c>
      <c r="N4" s="6" t="n">
        <v>45901</v>
      </c>
      <c r="O4" s="6" t="n">
        <v>45931</v>
      </c>
      <c r="P4" s="6" t="n">
        <v>45962</v>
      </c>
      <c r="Q4" s="6" t="n">
        <v>45992</v>
      </c>
      <c r="R4" s="6" t="n">
        <v>46023</v>
      </c>
    </row>
    <row r="5">
      <c r="E5" s="12" t="n">
        <v>45657</v>
      </c>
      <c r="F5" s="12" t="n">
        <v>45688</v>
      </c>
      <c r="G5" s="12" t="n">
        <v>45716</v>
      </c>
      <c r="H5" s="12" t="n">
        <v>45747</v>
      </c>
      <c r="I5" s="12" t="n">
        <v>45777</v>
      </c>
      <c r="J5" s="12" t="n">
        <v>45808</v>
      </c>
      <c r="K5" s="12" t="n">
        <v>45838</v>
      </c>
      <c r="L5" s="12" t="n">
        <v>45869</v>
      </c>
      <c r="M5" s="12" t="n">
        <v>45900</v>
      </c>
      <c r="N5" s="12" t="n">
        <v>45930</v>
      </c>
      <c r="O5" s="12" t="n">
        <v>45961</v>
      </c>
      <c r="P5" s="12" t="n">
        <v>45991</v>
      </c>
      <c r="Q5" s="12" t="n">
        <v>46022</v>
      </c>
      <c r="R5" s="12" t="n">
        <v>46053</v>
      </c>
    </row>
    <row r="6">
      <c r="B6" s="7" t="n">
        <v>1</v>
      </c>
      <c r="D6" s="0" t="inlineStr">
        <is>
          <t>투자수익</t>
        </is>
      </c>
      <c r="E6" s="128" t="n">
        <v>0</v>
      </c>
      <c r="F6" s="128" t="n">
        <v>0</v>
      </c>
      <c r="G6" s="128" t="n">
        <v>0</v>
      </c>
      <c r="H6" s="128" t="n">
        <v>0</v>
      </c>
      <c r="I6" s="128" t="n">
        <v>0</v>
      </c>
      <c r="J6" s="128" t="n">
        <v>0</v>
      </c>
      <c r="K6" s="128" t="n">
        <v>0</v>
      </c>
      <c r="L6" s="128" t="n">
        <v>0</v>
      </c>
      <c r="M6" s="128" t="n">
        <v>0</v>
      </c>
      <c r="N6" s="128" t="n">
        <v>0</v>
      </c>
      <c r="O6" s="128" t="n">
        <v>0</v>
      </c>
      <c r="P6" s="128" t="n">
        <v>0</v>
      </c>
      <c r="Q6" s="128" t="n">
        <v>0</v>
      </c>
      <c r="R6" s="128" t="n">
        <v>0</v>
      </c>
    </row>
    <row r="7"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</row>
    <row r="8">
      <c r="B8" s="7" t="n">
        <v>2</v>
      </c>
      <c r="D8" s="0" t="inlineStr">
        <is>
          <t>운용투자수익</t>
        </is>
      </c>
      <c r="E8" s="128" t="n">
        <v>0</v>
      </c>
      <c r="F8" s="128" t="n">
        <v>0</v>
      </c>
      <c r="G8" s="128" t="n">
        <v>0</v>
      </c>
      <c r="H8" s="128" t="n">
        <v>0</v>
      </c>
      <c r="I8" s="128" t="n">
        <v>0</v>
      </c>
      <c r="J8" s="128" t="n">
        <v>0</v>
      </c>
      <c r="K8" s="128" t="n">
        <v>0</v>
      </c>
      <c r="L8" s="128" t="n">
        <v>0</v>
      </c>
      <c r="M8" s="128" t="n">
        <v>0</v>
      </c>
      <c r="N8" s="128" t="n">
        <v>0</v>
      </c>
      <c r="O8" s="128" t="n">
        <v>0</v>
      </c>
      <c r="P8" s="128" t="n">
        <v>0</v>
      </c>
      <c r="Q8" s="128" t="n">
        <v>0</v>
      </c>
      <c r="R8" s="128" t="n">
        <v>0</v>
      </c>
    </row>
    <row r="9"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</row>
    <row r="10">
      <c r="B10" s="7" t="n">
        <v>3</v>
      </c>
      <c r="D10" s="0" t="inlineStr">
        <is>
          <t>기타의 영업수익</t>
        </is>
      </c>
      <c r="E10" s="128" t="n">
        <v>26708</v>
      </c>
      <c r="F10" s="128" t="n">
        <v>544868</v>
      </c>
      <c r="G10" s="128" t="n">
        <v>466780</v>
      </c>
      <c r="H10" s="128" t="n">
        <v>1389446</v>
      </c>
      <c r="I10" s="128" t="n">
        <v>219314</v>
      </c>
      <c r="J10" s="128" t="n">
        <v>76404</v>
      </c>
      <c r="K10" s="128" t="n">
        <v>14702</v>
      </c>
      <c r="L10" s="128" t="n">
        <v>3264</v>
      </c>
      <c r="M10" s="128" t="n">
        <v>2952</v>
      </c>
      <c r="N10" s="128" t="n">
        <v>3618</v>
      </c>
      <c r="O10" s="128" t="n">
        <v>2868</v>
      </c>
      <c r="P10" s="128" t="n">
        <v>22979</v>
      </c>
      <c r="Q10" s="128" t="n">
        <v>26654</v>
      </c>
      <c r="R10" s="128">
        <f>가결산전표!F71+가결산전표!F73</f>
        <v/>
      </c>
    </row>
    <row r="11"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</row>
    <row r="12" customFormat="1" s="9">
      <c r="B12" s="8" t="inlineStr">
        <is>
          <t>4=1+2+3</t>
        </is>
      </c>
      <c r="C12" s="8" t="n"/>
      <c r="D12" s="9" t="inlineStr">
        <is>
          <t>영업수익</t>
        </is>
      </c>
      <c r="E12" s="130" t="n">
        <v>26708</v>
      </c>
      <c r="F12" s="130" t="n">
        <v>544868</v>
      </c>
      <c r="G12" s="130" t="n">
        <v>466780</v>
      </c>
      <c r="H12" s="130" t="n">
        <v>234446</v>
      </c>
      <c r="I12" s="130" t="n">
        <v>219314</v>
      </c>
      <c r="J12" s="130" t="n">
        <v>76404</v>
      </c>
      <c r="K12" s="130" t="n">
        <v>14702</v>
      </c>
      <c r="L12" s="130" t="n">
        <v>3264</v>
      </c>
      <c r="M12" s="130" t="n">
        <v>2952</v>
      </c>
      <c r="N12" s="130" t="n">
        <v>3618</v>
      </c>
      <c r="O12" s="130" t="n">
        <v>2868</v>
      </c>
      <c r="P12" s="130" t="n">
        <v>22979</v>
      </c>
      <c r="Q12" s="130" t="n">
        <v>26654</v>
      </c>
      <c r="R12" s="130">
        <f>R6+R8+R10</f>
        <v/>
      </c>
    </row>
    <row r="13"/>
    <row r="14">
      <c r="B14" s="7" t="n">
        <v>5</v>
      </c>
      <c r="D14" s="0" t="inlineStr">
        <is>
          <t>투자비용</t>
        </is>
      </c>
      <c r="E14" s="127" t="n"/>
      <c r="F14" s="127" t="n"/>
      <c r="G14" s="127" t="n"/>
      <c r="H14" s="127" t="n">
        <v>0</v>
      </c>
      <c r="I14" s="127" t="n"/>
      <c r="J14" s="127" t="n"/>
      <c r="K14" s="127" t="n"/>
      <c r="L14" s="127" t="n"/>
      <c r="M14" s="127" t="n"/>
      <c r="N14" s="127" t="n"/>
      <c r="O14" s="127" t="n"/>
      <c r="P14" s="127" t="n"/>
      <c r="Q14" s="127" t="n"/>
      <c r="R14" s="127" t="n"/>
    </row>
    <row r="15">
      <c r="E15" s="127" t="n"/>
      <c r="F15" s="127" t="n"/>
      <c r="G15" s="127" t="n"/>
      <c r="H15" s="127" t="n"/>
      <c r="I15" s="127" t="n"/>
      <c r="J15" s="127" t="n"/>
      <c r="K15" s="127" t="n"/>
      <c r="L15" s="127" t="n"/>
      <c r="M15" s="127" t="n"/>
      <c r="N15" s="127" t="n"/>
      <c r="O15" s="127" t="n"/>
      <c r="P15" s="127" t="n"/>
      <c r="Q15" s="127" t="n"/>
      <c r="R15" s="127" t="n"/>
    </row>
    <row r="16">
      <c r="B16" s="7" t="n">
        <v>6</v>
      </c>
      <c r="D16" s="0" t="inlineStr">
        <is>
          <t>관리보수</t>
        </is>
      </c>
      <c r="E16" s="127" t="n">
        <v>692465.7534246575</v>
      </c>
      <c r="F16" s="127" t="n">
        <v>0</v>
      </c>
      <c r="G16" s="127" t="n"/>
      <c r="H16" s="127" t="n">
        <v>0</v>
      </c>
      <c r="I16" s="127" t="n">
        <v>0</v>
      </c>
      <c r="J16" s="127" t="n">
        <v>0</v>
      </c>
      <c r="K16" s="127" t="n">
        <v>63014384</v>
      </c>
      <c r="L16" s="127" t="n">
        <v>0</v>
      </c>
      <c r="M16" s="127" t="n">
        <v>0</v>
      </c>
      <c r="N16" s="127" t="n">
        <v>0</v>
      </c>
      <c r="O16" s="127" t="n">
        <v>63706849</v>
      </c>
      <c r="P16" s="127" t="n">
        <v>0</v>
      </c>
      <c r="Q16" s="127" t="n">
        <v>63706849</v>
      </c>
      <c r="R16" s="127" t="n">
        <v>0</v>
      </c>
    </row>
    <row r="17">
      <c r="B17" s="7" t="n">
        <v>7</v>
      </c>
      <c r="D17" s="0" t="inlineStr">
        <is>
          <t>성과보수</t>
        </is>
      </c>
      <c r="H17" t="n">
        <v>0</v>
      </c>
    </row>
    <row r="18">
      <c r="B18" s="7" t="n">
        <v>8</v>
      </c>
      <c r="D18" s="0" t="inlineStr">
        <is>
          <t>수탁보수</t>
        </is>
      </c>
      <c r="F18" s="128" t="n">
        <v>16126</v>
      </c>
      <c r="G18" s="128" t="n"/>
      <c r="H18" s="128" t="n">
        <v>0</v>
      </c>
      <c r="I18" s="128" t="n"/>
      <c r="J18" s="128" t="n"/>
      <c r="K18" s="128" t="n">
        <v>1026766</v>
      </c>
      <c r="L18" s="128" t="n">
        <v>0</v>
      </c>
      <c r="M18" s="128" t="n">
        <v>0</v>
      </c>
      <c r="N18" s="128" t="n">
        <v>0</v>
      </c>
      <c r="O18" s="128" t="n">
        <v>0</v>
      </c>
      <c r="P18" s="128" t="n">
        <v>0</v>
      </c>
      <c r="Q18" s="128" t="n">
        <v>1842911</v>
      </c>
      <c r="R18" s="128" t="n">
        <v>0</v>
      </c>
    </row>
    <row r="19">
      <c r="B19" s="7" t="n">
        <v>9</v>
      </c>
      <c r="D19" s="0" t="inlineStr">
        <is>
          <t>감사수수료</t>
        </is>
      </c>
      <c r="E19" s="128" t="n"/>
      <c r="F19" s="128" t="n"/>
      <c r="G19" s="128" t="n"/>
      <c r="H19" s="128" t="n">
        <v>1155000</v>
      </c>
      <c r="I19" s="128" t="n">
        <v>0</v>
      </c>
      <c r="J19" s="128" t="n">
        <v>0</v>
      </c>
      <c r="K19" s="128" t="n">
        <v>0</v>
      </c>
      <c r="L19" s="128" t="n">
        <v>0</v>
      </c>
      <c r="M19" s="128" t="n">
        <v>0</v>
      </c>
      <c r="N19" s="128" t="n">
        <v>1100000</v>
      </c>
      <c r="O19" s="128" t="n">
        <v>0</v>
      </c>
      <c r="P19" s="128" t="n">
        <v>0</v>
      </c>
      <c r="Q19" s="128" t="n">
        <v>0</v>
      </c>
      <c r="R19" s="128" t="n">
        <v>0</v>
      </c>
    </row>
    <row r="20">
      <c r="B20" s="7" t="n">
        <v>10</v>
      </c>
      <c r="D20" s="0" t="inlineStr">
        <is>
          <t>기타영업비용</t>
        </is>
      </c>
      <c r="F20" s="128" t="n">
        <v>990000</v>
      </c>
      <c r="G20" s="128" t="n"/>
      <c r="H20" s="128" t="n">
        <v>1155000</v>
      </c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>
        <v>1202300</v>
      </c>
      <c r="R20" s="128" t="n">
        <v>0</v>
      </c>
    </row>
    <row r="21"/>
    <row r="22" ht="19.5" customFormat="1" customHeight="1" s="9">
      <c r="B22" s="8" t="inlineStr">
        <is>
          <t>11=∑6~10</t>
        </is>
      </c>
      <c r="C22" s="8" t="n"/>
      <c r="D22" s="9" t="inlineStr">
        <is>
          <t>영업비용</t>
        </is>
      </c>
      <c r="E22" s="130" t="n">
        <v>692465.7534246575</v>
      </c>
      <c r="F22" s="130" t="n">
        <v>1006126</v>
      </c>
      <c r="G22" s="130" t="n">
        <v>0</v>
      </c>
      <c r="H22" s="130" t="n">
        <v>63475026.24657534</v>
      </c>
      <c r="I22" s="130" t="n">
        <v>0</v>
      </c>
      <c r="J22" s="130" t="n">
        <v>0</v>
      </c>
      <c r="K22" s="130" t="n">
        <v>64041150</v>
      </c>
      <c r="L22" s="130" t="n">
        <v>0</v>
      </c>
      <c r="M22" s="130" t="n">
        <v>0</v>
      </c>
      <c r="N22" s="130" t="n">
        <v>1100000</v>
      </c>
      <c r="O22" s="130" t="n">
        <v>63706849</v>
      </c>
      <c r="P22" s="130" t="n">
        <v>0</v>
      </c>
      <c r="Q22" s="130" t="n">
        <v>66752060</v>
      </c>
      <c r="R22" s="130">
        <f>SUM(R16:R20)</f>
        <v/>
      </c>
    </row>
    <row r="23"/>
    <row r="24">
      <c r="B24" s="7" t="n">
        <v>12</v>
      </c>
      <c r="D24" s="0" t="inlineStr">
        <is>
          <t>당기순이익</t>
        </is>
      </c>
      <c r="E24" s="132" t="n">
        <v>-665757.7534246575</v>
      </c>
      <c r="F24" s="132" t="n">
        <v>-461258</v>
      </c>
      <c r="G24" s="132" t="n">
        <v>466780</v>
      </c>
      <c r="H24" s="132" t="n">
        <v>234446</v>
      </c>
      <c r="I24" s="132" t="n">
        <v>219314</v>
      </c>
      <c r="J24" s="132" t="n">
        <v>76404</v>
      </c>
      <c r="K24" s="132" t="n">
        <v>-64026448</v>
      </c>
      <c r="L24" s="132" t="n">
        <v>3264</v>
      </c>
      <c r="M24" s="132" t="n">
        <v>2952</v>
      </c>
      <c r="N24" s="132" t="n">
        <v>-1096382</v>
      </c>
      <c r="O24" s="132" t="n">
        <v>-63703981</v>
      </c>
      <c r="P24" s="132" t="n">
        <v>22979</v>
      </c>
      <c r="Q24" s="132" t="n">
        <v>-66725406</v>
      </c>
      <c r="R24" s="132">
        <f>R12-R22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5" workbookViewId="0">
      <selection activeCell="P21" sqref="P21"/>
    </sheetView>
  </sheetViews>
  <sheetFormatPr baseColWidth="8" defaultRowHeight="16.5"/>
  <sheetData>
    <row r="1">
      <c r="A1" s="0" t="inlineStr">
        <is>
          <t>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2" workbookViewId="0">
      <selection activeCell="M9" sqref="M9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N11" sqref="N11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N8" sqref="N8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P12" sqref="P12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3" workbookViewId="0">
      <selection activeCell="N11" sqref="N11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2" sqref="O12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1" sqref="O11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17" sqref="L17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0" workbookViewId="0">
      <selection activeCell="N31" sqref="N31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L14" sqref="L14"/>
    </sheetView>
  </sheetViews>
  <sheetFormatPr baseColWidth="8" defaultRowHeight="16.5"/>
  <cols>
    <col width="5" bestFit="1" customWidth="1" style="125" min="1" max="1"/>
    <col width="9.125" bestFit="1" customWidth="1" style="125" min="2" max="2"/>
    <col width="11.875" bestFit="1" customWidth="1" style="125" min="3" max="3"/>
    <col width="11.625" bestFit="1" customWidth="1" style="125" min="4" max="4"/>
    <col width="13.625" bestFit="1" customWidth="1" style="125" min="5" max="5"/>
  </cols>
  <sheetData>
    <row r="1" ht="17.25" customHeight="1" s="125" thickBot="1">
      <c r="A1" s="90" t="inlineStr">
        <is>
          <t>거래내역조회</t>
        </is>
      </c>
      <c r="B1" s="133" t="n"/>
      <c r="C1" s="133" t="n"/>
      <c r="D1" s="133" t="n"/>
      <c r="E1" s="133" t="n"/>
      <c r="F1" s="133" t="n"/>
      <c r="G1" s="133" t="n"/>
      <c r="H1" s="134" t="n"/>
    </row>
    <row r="2" ht="17.25" customHeight="1" s="125" thickBot="1">
      <c r="A2" s="135" t="n"/>
      <c r="H2" s="136" t="n"/>
    </row>
    <row r="3" ht="17.25" customHeight="1" s="125" thickBot="1">
      <c r="A3" s="137" t="n"/>
      <c r="B3" s="138" t="n"/>
      <c r="C3" s="138" t="n"/>
      <c r="D3" s="138" t="n"/>
      <c r="E3" s="138" t="n"/>
      <c r="F3" s="138" t="n"/>
      <c r="G3" s="138" t="n"/>
      <c r="H3" s="139" t="n"/>
    </row>
    <row r="4">
      <c r="A4" s="91" t="inlineStr">
        <is>
          <t>2025년 04월 01일 09시44분45초</t>
        </is>
      </c>
    </row>
    <row r="5" ht="17.25" customHeight="1" s="125" thickBot="1"/>
    <row r="6" ht="17.25" customHeight="1" s="125" thickBot="1">
      <c r="A6" s="87" t="inlineStr">
        <is>
          <t>계좌번호</t>
        </is>
      </c>
      <c r="B6" s="140" t="n"/>
      <c r="C6" s="88" t="inlineStr">
        <is>
          <t>317-0029-5632-11</t>
        </is>
      </c>
      <c r="D6" s="141" t="n"/>
      <c r="E6" s="87" t="inlineStr">
        <is>
          <t>예금종류</t>
        </is>
      </c>
      <c r="F6" s="140" t="n"/>
      <c r="G6" s="88" t="inlineStr">
        <is>
          <t>기업자유예금</t>
        </is>
      </c>
      <c r="H6" s="141" t="n"/>
    </row>
    <row r="7" ht="17.25" customHeight="1" s="125" thickBot="1">
      <c r="A7" s="87" t="inlineStr">
        <is>
          <t>예금주명</t>
        </is>
      </c>
      <c r="B7" s="140" t="n"/>
      <c r="C7" s="88" t="inlineStr">
        <is>
          <t>트리거-글로벌PEX투자조합</t>
        </is>
      </c>
      <c r="D7" s="141" t="n"/>
      <c r="E7" s="87" t="inlineStr">
        <is>
          <t>현재통장잔액</t>
        </is>
      </c>
      <c r="F7" s="140" t="n"/>
      <c r="G7" s="89" t="inlineStr">
        <is>
          <t>485,717,184원</t>
        </is>
      </c>
      <c r="H7" s="141" t="n"/>
    </row>
    <row r="8" ht="17.25" customHeight="1" s="125" thickBot="1">
      <c r="A8" s="87" t="inlineStr">
        <is>
          <t>조회시작일</t>
        </is>
      </c>
      <c r="B8" s="140" t="n"/>
      <c r="C8" s="88" t="inlineStr">
        <is>
          <t>2025/03/01</t>
        </is>
      </c>
      <c r="D8" s="141" t="n"/>
      <c r="E8" s="87" t="inlineStr">
        <is>
          <t>조회종료일</t>
        </is>
      </c>
      <c r="F8" s="140" t="n"/>
      <c r="G8" s="88" t="inlineStr">
        <is>
          <t>2025/03/31</t>
        </is>
      </c>
      <c r="H8" s="141" t="n"/>
    </row>
    <row r="9" ht="17.25" customHeight="1" s="125" thickBot="1">
      <c r="A9" s="92" t="n"/>
      <c r="B9" s="92" t="n"/>
      <c r="C9" s="92" t="n"/>
      <c r="D9" s="92" t="n"/>
      <c r="E9" s="92" t="n"/>
      <c r="F9" s="92" t="n"/>
      <c r="G9" s="92" t="n"/>
      <c r="H9" s="92" t="n"/>
    </row>
    <row r="10" ht="17.25" customHeight="1" s="125" thickBot="1">
      <c r="A10" s="87" t="inlineStr">
        <is>
          <t>구분</t>
        </is>
      </c>
      <c r="B10" s="87" t="inlineStr">
        <is>
          <t>거래일자</t>
        </is>
      </c>
      <c r="C10" s="87" t="inlineStr">
        <is>
          <t>출금금액(원)</t>
        </is>
      </c>
      <c r="D10" s="87" t="inlineStr">
        <is>
          <t>입금금액(원)</t>
        </is>
      </c>
      <c r="E10" s="87" t="inlineStr">
        <is>
          <t>거래후잔액(원)</t>
        </is>
      </c>
      <c r="F10" s="87" t="inlineStr">
        <is>
          <t>거래내용</t>
        </is>
      </c>
      <c r="G10" s="87" t="inlineStr">
        <is>
          <t>거래기록사항</t>
        </is>
      </c>
      <c r="H10" s="87" t="inlineStr">
        <is>
          <t>거래점</t>
        </is>
      </c>
    </row>
    <row r="11" ht="25.5" customHeight="1" s="125">
      <c r="A11" s="88" t="inlineStr">
        <is>
          <t>1</t>
        </is>
      </c>
      <c r="B11" s="88" t="inlineStr">
        <is>
          <t>2025/03/31 15:15:27</t>
        </is>
      </c>
      <c r="C11" s="84" t="n">
        <v>63012492</v>
      </c>
      <c r="D11" s="83" t="n"/>
      <c r="E11" s="83" t="n">
        <v>485717184</v>
      </c>
      <c r="F11" s="88" t="inlineStr">
        <is>
          <t>NH증권수탁</t>
        </is>
      </c>
      <c r="G11" s="88" t="inlineStr">
        <is>
          <t xml:space="preserve">트리거투자파트너스　</t>
        </is>
      </c>
      <c r="H11" s="88" t="inlineStr">
        <is>
          <t>농협 000221</t>
        </is>
      </c>
    </row>
    <row r="12" ht="25.5" customHeight="1" s="125">
      <c r="A12" s="88" t="inlineStr">
        <is>
          <t>2</t>
        </is>
      </c>
      <c r="B12" s="88" t="inlineStr">
        <is>
          <t>2025/03/28 17:04:56</t>
        </is>
      </c>
      <c r="C12" s="83" t="n">
        <v>1499925000</v>
      </c>
      <c r="D12" s="83" t="n"/>
      <c r="E12" s="83" t="n">
        <v>548729676</v>
      </c>
      <c r="F12" s="88" t="inlineStr">
        <is>
          <t>NH증권수탁</t>
        </is>
      </c>
      <c r="G12" s="88" t="inlineStr">
        <is>
          <t xml:space="preserve">（주）저스트그린　　</t>
        </is>
      </c>
      <c r="H12" s="88" t="inlineStr">
        <is>
          <t>농협 000221</t>
        </is>
      </c>
    </row>
    <row r="13" ht="25.5" customHeight="1" s="125">
      <c r="A13" s="88" t="inlineStr">
        <is>
          <t>3</t>
        </is>
      </c>
      <c r="B13" s="88" t="inlineStr">
        <is>
          <t>2025/03/26 14:10:43</t>
        </is>
      </c>
      <c r="C13" s="83" t="n"/>
      <c r="D13" s="83" t="n">
        <v>900000000</v>
      </c>
      <c r="E13" s="83" t="n">
        <v>2048654676</v>
      </c>
      <c r="F13" s="88" t="inlineStr">
        <is>
          <t>NH증권수탁</t>
        </is>
      </c>
      <c r="G13" s="88" t="inlineStr">
        <is>
          <t xml:space="preserve">농식품모태펀　　　　</t>
        </is>
      </c>
      <c r="H13" s="88" t="inlineStr">
        <is>
          <t>농협 000221</t>
        </is>
      </c>
    </row>
    <row r="14" ht="25.5" customHeight="1" s="125">
      <c r="A14" s="88" t="inlineStr">
        <is>
          <t>4</t>
        </is>
      </c>
      <c r="B14" s="88" t="inlineStr">
        <is>
          <t>2025/03/26 10:05:48</t>
        </is>
      </c>
      <c r="C14" s="83" t="n"/>
      <c r="D14" s="83" t="n">
        <v>16500000</v>
      </c>
      <c r="E14" s="83" t="n">
        <v>1148654676</v>
      </c>
      <c r="F14" s="88" t="inlineStr">
        <is>
          <t>E-기업은행</t>
        </is>
      </c>
      <c r="G14" s="88" t="inlineStr">
        <is>
          <t>트리거투자파트너스</t>
        </is>
      </c>
      <c r="H14" s="88" t="inlineStr">
        <is>
          <t>기업 0034775</t>
        </is>
      </c>
    </row>
    <row r="15" ht="25.5" customHeight="1" s="125">
      <c r="A15" s="88" t="inlineStr">
        <is>
          <t>5</t>
        </is>
      </c>
      <c r="B15" s="88" t="inlineStr">
        <is>
          <t>2025/03/26 09:08:17</t>
        </is>
      </c>
      <c r="C15" s="83" t="n"/>
      <c r="D15" s="83" t="n">
        <v>450000000</v>
      </c>
      <c r="E15" s="83" t="n">
        <v>1132154676</v>
      </c>
      <c r="F15" s="88" t="inlineStr">
        <is>
          <t>E-우리은행</t>
        </is>
      </c>
      <c r="G15" s="88" t="inlineStr">
        <is>
          <t>주식회사러셀파트너</t>
        </is>
      </c>
      <c r="H15" s="88" t="inlineStr">
        <is>
          <t>우리 0209966</t>
        </is>
      </c>
    </row>
    <row r="16" ht="25.5" customHeight="1" s="125">
      <c r="A16" s="88" t="inlineStr">
        <is>
          <t>6</t>
        </is>
      </c>
      <c r="B16" s="88" t="inlineStr">
        <is>
          <t>2025/03/25 12:17:27</t>
        </is>
      </c>
      <c r="C16" s="83" t="n"/>
      <c r="D16" s="83" t="n">
        <v>150000000</v>
      </c>
      <c r="E16" s="83" t="n">
        <v>682154676</v>
      </c>
      <c r="F16" s="88" t="inlineStr">
        <is>
          <t>E-우리은행</t>
        </is>
      </c>
      <c r="G16" s="88" t="inlineStr">
        <is>
          <t>인앤솔루션(주)</t>
        </is>
      </c>
      <c r="H16" s="88" t="inlineStr">
        <is>
          <t>우리 0205290</t>
        </is>
      </c>
    </row>
    <row r="17" ht="25.5" customHeight="1" s="125">
      <c r="A17" s="88" t="inlineStr">
        <is>
          <t>7</t>
        </is>
      </c>
      <c r="B17" s="88" t="inlineStr">
        <is>
          <t>2025/03/23 11:08:21</t>
        </is>
      </c>
      <c r="C17" s="83" t="n"/>
      <c r="D17" s="83" t="n">
        <v>234446</v>
      </c>
      <c r="E17" s="83" t="n">
        <v>532154676</v>
      </c>
      <c r="F17" s="88" t="inlineStr">
        <is>
          <t>예금이자</t>
        </is>
      </c>
      <c r="G17" s="88" t="inlineStr"/>
      <c r="H17" s="88" t="inlineStr">
        <is>
          <t>농협 000676</t>
        </is>
      </c>
    </row>
    <row r="18" ht="25.5" customHeight="1" s="125">
      <c r="A18" s="88" t="inlineStr">
        <is>
          <t>8</t>
        </is>
      </c>
      <c r="B18" s="88" t="inlineStr">
        <is>
          <t>2025/03/21 15:25:51</t>
        </is>
      </c>
      <c r="C18" s="83" t="n">
        <v>999957000</v>
      </c>
      <c r="D18" s="83" t="n"/>
      <c r="E18" s="83" t="n">
        <v>531920230</v>
      </c>
      <c r="F18" s="88" t="inlineStr">
        <is>
          <t>NH증권수탁</t>
        </is>
      </c>
      <c r="G18" s="88" t="inlineStr">
        <is>
          <t xml:space="preserve">（주）퓨어　　　　　</t>
        </is>
      </c>
      <c r="H18" s="88" t="inlineStr">
        <is>
          <t>농협 000221</t>
        </is>
      </c>
    </row>
    <row r="19" ht="25.5" customHeight="1" s="125">
      <c r="A19" s="88" t="inlineStr">
        <is>
          <t>9</t>
        </is>
      </c>
      <c r="B19" s="88" t="inlineStr">
        <is>
          <t>2025/03/20 10:17:05</t>
        </is>
      </c>
      <c r="C19" s="83" t="n">
        <v>1155000</v>
      </c>
      <c r="D19" s="83" t="n"/>
      <c r="E19" s="83" t="n">
        <v>1531877230</v>
      </c>
      <c r="F19" s="88" t="inlineStr">
        <is>
          <t>NH증권수탁</t>
        </is>
      </c>
      <c r="G19" s="88" t="inlineStr">
        <is>
          <t xml:space="preserve">태성회계법인　　　　</t>
        </is>
      </c>
      <c r="H19" s="88" t="inlineStr">
        <is>
          <t>농협 000221</t>
        </is>
      </c>
    </row>
    <row r="20" ht="25.5" customHeight="1" s="125">
      <c r="A20" s="88" t="inlineStr">
        <is>
          <t>10</t>
        </is>
      </c>
      <c r="B20" s="88" t="inlineStr">
        <is>
          <t>2025/03/19 11:00:07</t>
        </is>
      </c>
      <c r="C20" s="83" t="n"/>
      <c r="D20" s="83" t="n">
        <v>11000000</v>
      </c>
      <c r="E20" s="83" t="n">
        <v>1533032230</v>
      </c>
      <c r="F20" s="88" t="inlineStr">
        <is>
          <t>E-기업은행</t>
        </is>
      </c>
      <c r="G20" s="88" t="inlineStr">
        <is>
          <t>트리거투자파트너스</t>
        </is>
      </c>
      <c r="H20" s="88" t="inlineStr">
        <is>
          <t>기업 0034775</t>
        </is>
      </c>
    </row>
    <row r="21" ht="25.5" customHeight="1" s="125">
      <c r="A21" s="88" t="inlineStr">
        <is>
          <t>11</t>
        </is>
      </c>
      <c r="B21" s="88" t="inlineStr">
        <is>
          <t>2025/03/19 10:37:20</t>
        </is>
      </c>
      <c r="C21" s="83" t="n"/>
      <c r="D21" s="83" t="n">
        <v>100000000</v>
      </c>
      <c r="E21" s="83" t="n">
        <v>1522032230</v>
      </c>
      <c r="F21" s="88" t="inlineStr">
        <is>
          <t>E-우리은행</t>
        </is>
      </c>
      <c r="G21" s="88" t="inlineStr">
        <is>
          <t>인앤솔루션(주)</t>
        </is>
      </c>
      <c r="H21" s="88" t="inlineStr">
        <is>
          <t>우리 0205290</t>
        </is>
      </c>
    </row>
    <row r="22" ht="25.5" customHeight="1" s="125">
      <c r="A22" s="88" t="inlineStr">
        <is>
          <t>12</t>
        </is>
      </c>
      <c r="B22" s="88" t="inlineStr">
        <is>
          <t>2025/03/19 10:19:46</t>
        </is>
      </c>
      <c r="C22" s="83" t="n"/>
      <c r="D22" s="83" t="n">
        <v>600000000</v>
      </c>
      <c r="E22" s="83" t="n">
        <v>1422032230</v>
      </c>
      <c r="F22" s="88" t="inlineStr">
        <is>
          <t>NH증권수탁</t>
        </is>
      </c>
      <c r="G22" s="88" t="inlineStr">
        <is>
          <t xml:space="preserve">농식품모태펀　　　　</t>
        </is>
      </c>
      <c r="H22" s="88" t="inlineStr">
        <is>
          <t>농협 000221</t>
        </is>
      </c>
    </row>
    <row r="23" ht="25.5" customHeight="1" s="125">
      <c r="A23" s="88" t="inlineStr">
        <is>
          <t>13</t>
        </is>
      </c>
      <c r="B23" s="88" t="inlineStr">
        <is>
          <t>2025/03/19 08:54:38</t>
        </is>
      </c>
      <c r="C23" s="83" t="n"/>
      <c r="D23" s="83" t="n">
        <v>300000000</v>
      </c>
      <c r="E23" s="83" t="n">
        <v>822032230</v>
      </c>
      <c r="F23" s="88" t="inlineStr">
        <is>
          <t>E-우리은행</t>
        </is>
      </c>
      <c r="G23" s="88" t="inlineStr">
        <is>
          <t>주식회사러셀파트너</t>
        </is>
      </c>
      <c r="H23" s="88" t="inlineStr">
        <is>
          <t>우리 0209966</t>
        </is>
      </c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</row>
  </sheetData>
  <mergeCells count="14">
    <mergeCell ref="A4:H4"/>
    <mergeCell ref="E6:F6"/>
    <mergeCell ref="C6:D6"/>
    <mergeCell ref="C7:D7"/>
    <mergeCell ref="A7:B7"/>
    <mergeCell ref="G7:H7"/>
    <mergeCell ref="E7:F7"/>
    <mergeCell ref="E8:F8"/>
    <mergeCell ref="G6:H6"/>
    <mergeCell ref="G8:H8"/>
    <mergeCell ref="A6:B6"/>
    <mergeCell ref="A8:B8"/>
    <mergeCell ref="A1:H3"/>
    <mergeCell ref="C8:D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Right="0"/>
    <pageSetUpPr/>
  </sheetPr>
  <dimension ref="B2:N21"/>
  <sheetViews>
    <sheetView zoomScaleNormal="100" zoomScaleSheetLayoutView="100" workbookViewId="0">
      <selection activeCell="P27" sqref="P27"/>
    </sheetView>
  </sheetViews>
  <sheetFormatPr baseColWidth="8" defaultRowHeight="12.75"/>
  <cols>
    <col width="1.25" customWidth="1" style="76" min="1" max="1"/>
    <col width="5.375" customWidth="1" style="76" min="2" max="2"/>
    <col width="9.75" customWidth="1" style="76" min="3" max="3"/>
    <col width="3.875" customWidth="1" style="76" min="4" max="4"/>
    <col width="9.75" customWidth="1" style="76" min="5" max="5"/>
    <col width="13.625" customWidth="1" style="76" min="6" max="6"/>
    <col width="0.125" customWidth="1" style="76" min="7" max="7"/>
    <col width="13.5" customWidth="1" style="76" min="8" max="8"/>
    <col width="5.5" customWidth="1" style="76" min="9" max="9"/>
    <col width="4.5" customWidth="1" style="76" min="10" max="10"/>
    <col width="4.625" customWidth="1" style="76" min="11" max="11"/>
    <col width="2.75" customWidth="1" style="76" min="12" max="12"/>
    <col width="2.625" customWidth="1" style="76" min="13" max="13"/>
    <col width="9" customWidth="1" style="76" min="14" max="14"/>
    <col width="9" customWidth="1" style="76" min="15" max="256"/>
    <col width="1.25" customWidth="1" style="76" min="257" max="257"/>
    <col width="5.375" customWidth="1" style="76" min="258" max="258"/>
    <col width="9.75" customWidth="1" style="76" min="259" max="259"/>
    <col width="3.875" customWidth="1" style="76" min="260" max="260"/>
    <col width="9.75" customWidth="1" style="76" min="261" max="261"/>
    <col width="13.625" customWidth="1" style="76" min="262" max="262"/>
    <col width="0.125" customWidth="1" style="76" min="263" max="263"/>
    <col width="13.5" customWidth="1" style="76" min="264" max="264"/>
    <col width="5.5" customWidth="1" style="76" min="265" max="265"/>
    <col width="4.5" customWidth="1" style="76" min="266" max="266"/>
    <col width="4.625" customWidth="1" style="76" min="267" max="267"/>
    <col width="2.75" customWidth="1" style="76" min="268" max="268"/>
    <col width="2.625" customWidth="1" style="76" min="269" max="269"/>
    <col width="9" customWidth="1" style="76" min="270" max="512"/>
    <col width="1.25" customWidth="1" style="76" min="513" max="513"/>
    <col width="5.375" customWidth="1" style="76" min="514" max="514"/>
    <col width="9.75" customWidth="1" style="76" min="515" max="515"/>
    <col width="3.875" customWidth="1" style="76" min="516" max="516"/>
    <col width="9.75" customWidth="1" style="76" min="517" max="517"/>
    <col width="13.625" customWidth="1" style="76" min="518" max="518"/>
    <col width="0.125" customWidth="1" style="76" min="519" max="519"/>
    <col width="13.5" customWidth="1" style="76" min="520" max="520"/>
    <col width="5.5" customWidth="1" style="76" min="521" max="521"/>
    <col width="4.5" customWidth="1" style="76" min="522" max="522"/>
    <col width="4.625" customWidth="1" style="76" min="523" max="523"/>
    <col width="2.75" customWidth="1" style="76" min="524" max="524"/>
    <col width="2.625" customWidth="1" style="76" min="525" max="525"/>
    <col width="9" customWidth="1" style="76" min="526" max="768"/>
    <col width="1.25" customWidth="1" style="76" min="769" max="769"/>
    <col width="5.375" customWidth="1" style="76" min="770" max="770"/>
    <col width="9.75" customWidth="1" style="76" min="771" max="771"/>
    <col width="3.875" customWidth="1" style="76" min="772" max="772"/>
    <col width="9.75" customWidth="1" style="76" min="773" max="773"/>
    <col width="13.625" customWidth="1" style="76" min="774" max="774"/>
    <col width="0.125" customWidth="1" style="76" min="775" max="775"/>
    <col width="13.5" customWidth="1" style="76" min="776" max="776"/>
    <col width="5.5" customWidth="1" style="76" min="777" max="777"/>
    <col width="4.5" customWidth="1" style="76" min="778" max="778"/>
    <col width="4.625" customWidth="1" style="76" min="779" max="779"/>
    <col width="2.75" customWidth="1" style="76" min="780" max="780"/>
    <col width="2.625" customWidth="1" style="76" min="781" max="781"/>
    <col width="9" customWidth="1" style="76" min="782" max="1024"/>
    <col width="1.25" customWidth="1" style="76" min="1025" max="1025"/>
    <col width="5.375" customWidth="1" style="76" min="1026" max="1026"/>
    <col width="9.75" customWidth="1" style="76" min="1027" max="1027"/>
    <col width="3.875" customWidth="1" style="76" min="1028" max="1028"/>
    <col width="9.75" customWidth="1" style="76" min="1029" max="1029"/>
    <col width="13.625" customWidth="1" style="76" min="1030" max="1030"/>
    <col width="0.125" customWidth="1" style="76" min="1031" max="1031"/>
    <col width="13.5" customWidth="1" style="76" min="1032" max="1032"/>
    <col width="5.5" customWidth="1" style="76" min="1033" max="1033"/>
    <col width="4.5" customWidth="1" style="76" min="1034" max="1034"/>
    <col width="4.625" customWidth="1" style="76" min="1035" max="1035"/>
    <col width="2.75" customWidth="1" style="76" min="1036" max="1036"/>
    <col width="2.625" customWidth="1" style="76" min="1037" max="1037"/>
    <col width="9" customWidth="1" style="76" min="1038" max="1280"/>
    <col width="1.25" customWidth="1" style="76" min="1281" max="1281"/>
    <col width="5.375" customWidth="1" style="76" min="1282" max="1282"/>
    <col width="9.75" customWidth="1" style="76" min="1283" max="1283"/>
    <col width="3.875" customWidth="1" style="76" min="1284" max="1284"/>
    <col width="9.75" customWidth="1" style="76" min="1285" max="1285"/>
    <col width="13.625" customWidth="1" style="76" min="1286" max="1286"/>
    <col width="0.125" customWidth="1" style="76" min="1287" max="1287"/>
    <col width="13.5" customWidth="1" style="76" min="1288" max="1288"/>
    <col width="5.5" customWidth="1" style="76" min="1289" max="1289"/>
    <col width="4.5" customWidth="1" style="76" min="1290" max="1290"/>
    <col width="4.625" customWidth="1" style="76" min="1291" max="1291"/>
    <col width="2.75" customWidth="1" style="76" min="1292" max="1292"/>
    <col width="2.625" customWidth="1" style="76" min="1293" max="1293"/>
    <col width="9" customWidth="1" style="76" min="1294" max="1536"/>
    <col width="1.25" customWidth="1" style="76" min="1537" max="1537"/>
    <col width="5.375" customWidth="1" style="76" min="1538" max="1538"/>
    <col width="9.75" customWidth="1" style="76" min="1539" max="1539"/>
    <col width="3.875" customWidth="1" style="76" min="1540" max="1540"/>
    <col width="9.75" customWidth="1" style="76" min="1541" max="1541"/>
    <col width="13.625" customWidth="1" style="76" min="1542" max="1542"/>
    <col width="0.125" customWidth="1" style="76" min="1543" max="1543"/>
    <col width="13.5" customWidth="1" style="76" min="1544" max="1544"/>
    <col width="5.5" customWidth="1" style="76" min="1545" max="1545"/>
    <col width="4.5" customWidth="1" style="76" min="1546" max="1546"/>
    <col width="4.625" customWidth="1" style="76" min="1547" max="1547"/>
    <col width="2.75" customWidth="1" style="76" min="1548" max="1548"/>
    <col width="2.625" customWidth="1" style="76" min="1549" max="1549"/>
    <col width="9" customWidth="1" style="76" min="1550" max="1792"/>
    <col width="1.25" customWidth="1" style="76" min="1793" max="1793"/>
    <col width="5.375" customWidth="1" style="76" min="1794" max="1794"/>
    <col width="9.75" customWidth="1" style="76" min="1795" max="1795"/>
    <col width="3.875" customWidth="1" style="76" min="1796" max="1796"/>
    <col width="9.75" customWidth="1" style="76" min="1797" max="1797"/>
    <col width="13.625" customWidth="1" style="76" min="1798" max="1798"/>
    <col width="0.125" customWidth="1" style="76" min="1799" max="1799"/>
    <col width="13.5" customWidth="1" style="76" min="1800" max="1800"/>
    <col width="5.5" customWidth="1" style="76" min="1801" max="1801"/>
    <col width="4.5" customWidth="1" style="76" min="1802" max="1802"/>
    <col width="4.625" customWidth="1" style="76" min="1803" max="1803"/>
    <col width="2.75" customWidth="1" style="76" min="1804" max="1804"/>
    <col width="2.625" customWidth="1" style="76" min="1805" max="1805"/>
    <col width="9" customWidth="1" style="76" min="1806" max="2048"/>
    <col width="1.25" customWidth="1" style="76" min="2049" max="2049"/>
    <col width="5.375" customWidth="1" style="76" min="2050" max="2050"/>
    <col width="9.75" customWidth="1" style="76" min="2051" max="2051"/>
    <col width="3.875" customWidth="1" style="76" min="2052" max="2052"/>
    <col width="9.75" customWidth="1" style="76" min="2053" max="2053"/>
    <col width="13.625" customWidth="1" style="76" min="2054" max="2054"/>
    <col width="0.125" customWidth="1" style="76" min="2055" max="2055"/>
    <col width="13.5" customWidth="1" style="76" min="2056" max="2056"/>
    <col width="5.5" customWidth="1" style="76" min="2057" max="2057"/>
    <col width="4.5" customWidth="1" style="76" min="2058" max="2058"/>
    <col width="4.625" customWidth="1" style="76" min="2059" max="2059"/>
    <col width="2.75" customWidth="1" style="76" min="2060" max="2060"/>
    <col width="2.625" customWidth="1" style="76" min="2061" max="2061"/>
    <col width="9" customWidth="1" style="76" min="2062" max="2304"/>
    <col width="1.25" customWidth="1" style="76" min="2305" max="2305"/>
    <col width="5.375" customWidth="1" style="76" min="2306" max="2306"/>
    <col width="9.75" customWidth="1" style="76" min="2307" max="2307"/>
    <col width="3.875" customWidth="1" style="76" min="2308" max="2308"/>
    <col width="9.75" customWidth="1" style="76" min="2309" max="2309"/>
    <col width="13.625" customWidth="1" style="76" min="2310" max="2310"/>
    <col width="0.125" customWidth="1" style="76" min="2311" max="2311"/>
    <col width="13.5" customWidth="1" style="76" min="2312" max="2312"/>
    <col width="5.5" customWidth="1" style="76" min="2313" max="2313"/>
    <col width="4.5" customWidth="1" style="76" min="2314" max="2314"/>
    <col width="4.625" customWidth="1" style="76" min="2315" max="2315"/>
    <col width="2.75" customWidth="1" style="76" min="2316" max="2316"/>
    <col width="2.625" customWidth="1" style="76" min="2317" max="2317"/>
    <col width="9" customWidth="1" style="76" min="2318" max="2560"/>
    <col width="1.25" customWidth="1" style="76" min="2561" max="2561"/>
    <col width="5.375" customWidth="1" style="76" min="2562" max="2562"/>
    <col width="9.75" customWidth="1" style="76" min="2563" max="2563"/>
    <col width="3.875" customWidth="1" style="76" min="2564" max="2564"/>
    <col width="9.75" customWidth="1" style="76" min="2565" max="2565"/>
    <col width="13.625" customWidth="1" style="76" min="2566" max="2566"/>
    <col width="0.125" customWidth="1" style="76" min="2567" max="2567"/>
    <col width="13.5" customWidth="1" style="76" min="2568" max="2568"/>
    <col width="5.5" customWidth="1" style="76" min="2569" max="2569"/>
    <col width="4.5" customWidth="1" style="76" min="2570" max="2570"/>
    <col width="4.625" customWidth="1" style="76" min="2571" max="2571"/>
    <col width="2.75" customWidth="1" style="76" min="2572" max="2572"/>
    <col width="2.625" customWidth="1" style="76" min="2573" max="2573"/>
    <col width="9" customWidth="1" style="76" min="2574" max="2816"/>
    <col width="1.25" customWidth="1" style="76" min="2817" max="2817"/>
    <col width="5.375" customWidth="1" style="76" min="2818" max="2818"/>
    <col width="9.75" customWidth="1" style="76" min="2819" max="2819"/>
    <col width="3.875" customWidth="1" style="76" min="2820" max="2820"/>
    <col width="9.75" customWidth="1" style="76" min="2821" max="2821"/>
    <col width="13.625" customWidth="1" style="76" min="2822" max="2822"/>
    <col width="0.125" customWidth="1" style="76" min="2823" max="2823"/>
    <col width="13.5" customWidth="1" style="76" min="2824" max="2824"/>
    <col width="5.5" customWidth="1" style="76" min="2825" max="2825"/>
    <col width="4.5" customWidth="1" style="76" min="2826" max="2826"/>
    <col width="4.625" customWidth="1" style="76" min="2827" max="2827"/>
    <col width="2.75" customWidth="1" style="76" min="2828" max="2828"/>
    <col width="2.625" customWidth="1" style="76" min="2829" max="2829"/>
    <col width="9" customWidth="1" style="76" min="2830" max="3072"/>
    <col width="1.25" customWidth="1" style="76" min="3073" max="3073"/>
    <col width="5.375" customWidth="1" style="76" min="3074" max="3074"/>
    <col width="9.75" customWidth="1" style="76" min="3075" max="3075"/>
    <col width="3.875" customWidth="1" style="76" min="3076" max="3076"/>
    <col width="9.75" customWidth="1" style="76" min="3077" max="3077"/>
    <col width="13.625" customWidth="1" style="76" min="3078" max="3078"/>
    <col width="0.125" customWidth="1" style="76" min="3079" max="3079"/>
    <col width="13.5" customWidth="1" style="76" min="3080" max="3080"/>
    <col width="5.5" customWidth="1" style="76" min="3081" max="3081"/>
    <col width="4.5" customWidth="1" style="76" min="3082" max="3082"/>
    <col width="4.625" customWidth="1" style="76" min="3083" max="3083"/>
    <col width="2.75" customWidth="1" style="76" min="3084" max="3084"/>
    <col width="2.625" customWidth="1" style="76" min="3085" max="3085"/>
    <col width="9" customWidth="1" style="76" min="3086" max="3328"/>
    <col width="1.25" customWidth="1" style="76" min="3329" max="3329"/>
    <col width="5.375" customWidth="1" style="76" min="3330" max="3330"/>
    <col width="9.75" customWidth="1" style="76" min="3331" max="3331"/>
    <col width="3.875" customWidth="1" style="76" min="3332" max="3332"/>
    <col width="9.75" customWidth="1" style="76" min="3333" max="3333"/>
    <col width="13.625" customWidth="1" style="76" min="3334" max="3334"/>
    <col width="0.125" customWidth="1" style="76" min="3335" max="3335"/>
    <col width="13.5" customWidth="1" style="76" min="3336" max="3336"/>
    <col width="5.5" customWidth="1" style="76" min="3337" max="3337"/>
    <col width="4.5" customWidth="1" style="76" min="3338" max="3338"/>
    <col width="4.625" customWidth="1" style="76" min="3339" max="3339"/>
    <col width="2.75" customWidth="1" style="76" min="3340" max="3340"/>
    <col width="2.625" customWidth="1" style="76" min="3341" max="3341"/>
    <col width="9" customWidth="1" style="76" min="3342" max="3584"/>
    <col width="1.25" customWidth="1" style="76" min="3585" max="3585"/>
    <col width="5.375" customWidth="1" style="76" min="3586" max="3586"/>
    <col width="9.75" customWidth="1" style="76" min="3587" max="3587"/>
    <col width="3.875" customWidth="1" style="76" min="3588" max="3588"/>
    <col width="9.75" customWidth="1" style="76" min="3589" max="3589"/>
    <col width="13.625" customWidth="1" style="76" min="3590" max="3590"/>
    <col width="0.125" customWidth="1" style="76" min="3591" max="3591"/>
    <col width="13.5" customWidth="1" style="76" min="3592" max="3592"/>
    <col width="5.5" customWidth="1" style="76" min="3593" max="3593"/>
    <col width="4.5" customWidth="1" style="76" min="3594" max="3594"/>
    <col width="4.625" customWidth="1" style="76" min="3595" max="3595"/>
    <col width="2.75" customWidth="1" style="76" min="3596" max="3596"/>
    <col width="2.625" customWidth="1" style="76" min="3597" max="3597"/>
    <col width="9" customWidth="1" style="76" min="3598" max="3840"/>
    <col width="1.25" customWidth="1" style="76" min="3841" max="3841"/>
    <col width="5.375" customWidth="1" style="76" min="3842" max="3842"/>
    <col width="9.75" customWidth="1" style="76" min="3843" max="3843"/>
    <col width="3.875" customWidth="1" style="76" min="3844" max="3844"/>
    <col width="9.75" customWidth="1" style="76" min="3845" max="3845"/>
    <col width="13.625" customWidth="1" style="76" min="3846" max="3846"/>
    <col width="0.125" customWidth="1" style="76" min="3847" max="3847"/>
    <col width="13.5" customWidth="1" style="76" min="3848" max="3848"/>
    <col width="5.5" customWidth="1" style="76" min="3849" max="3849"/>
    <col width="4.5" customWidth="1" style="76" min="3850" max="3850"/>
    <col width="4.625" customWidth="1" style="76" min="3851" max="3851"/>
    <col width="2.75" customWidth="1" style="76" min="3852" max="3852"/>
    <col width="2.625" customWidth="1" style="76" min="3853" max="3853"/>
    <col width="9" customWidth="1" style="76" min="3854" max="4096"/>
    <col width="1.25" customWidth="1" style="76" min="4097" max="4097"/>
    <col width="5.375" customWidth="1" style="76" min="4098" max="4098"/>
    <col width="9.75" customWidth="1" style="76" min="4099" max="4099"/>
    <col width="3.875" customWidth="1" style="76" min="4100" max="4100"/>
    <col width="9.75" customWidth="1" style="76" min="4101" max="4101"/>
    <col width="13.625" customWidth="1" style="76" min="4102" max="4102"/>
    <col width="0.125" customWidth="1" style="76" min="4103" max="4103"/>
    <col width="13.5" customWidth="1" style="76" min="4104" max="4104"/>
    <col width="5.5" customWidth="1" style="76" min="4105" max="4105"/>
    <col width="4.5" customWidth="1" style="76" min="4106" max="4106"/>
    <col width="4.625" customWidth="1" style="76" min="4107" max="4107"/>
    <col width="2.75" customWidth="1" style="76" min="4108" max="4108"/>
    <col width="2.625" customWidth="1" style="76" min="4109" max="4109"/>
    <col width="9" customWidth="1" style="76" min="4110" max="4352"/>
    <col width="1.25" customWidth="1" style="76" min="4353" max="4353"/>
    <col width="5.375" customWidth="1" style="76" min="4354" max="4354"/>
    <col width="9.75" customWidth="1" style="76" min="4355" max="4355"/>
    <col width="3.875" customWidth="1" style="76" min="4356" max="4356"/>
    <col width="9.75" customWidth="1" style="76" min="4357" max="4357"/>
    <col width="13.625" customWidth="1" style="76" min="4358" max="4358"/>
    <col width="0.125" customWidth="1" style="76" min="4359" max="4359"/>
    <col width="13.5" customWidth="1" style="76" min="4360" max="4360"/>
    <col width="5.5" customWidth="1" style="76" min="4361" max="4361"/>
    <col width="4.5" customWidth="1" style="76" min="4362" max="4362"/>
    <col width="4.625" customWidth="1" style="76" min="4363" max="4363"/>
    <col width="2.75" customWidth="1" style="76" min="4364" max="4364"/>
    <col width="2.625" customWidth="1" style="76" min="4365" max="4365"/>
    <col width="9" customWidth="1" style="76" min="4366" max="4608"/>
    <col width="1.25" customWidth="1" style="76" min="4609" max="4609"/>
    <col width="5.375" customWidth="1" style="76" min="4610" max="4610"/>
    <col width="9.75" customWidth="1" style="76" min="4611" max="4611"/>
    <col width="3.875" customWidth="1" style="76" min="4612" max="4612"/>
    <col width="9.75" customWidth="1" style="76" min="4613" max="4613"/>
    <col width="13.625" customWidth="1" style="76" min="4614" max="4614"/>
    <col width="0.125" customWidth="1" style="76" min="4615" max="4615"/>
    <col width="13.5" customWidth="1" style="76" min="4616" max="4616"/>
    <col width="5.5" customWidth="1" style="76" min="4617" max="4617"/>
    <col width="4.5" customWidth="1" style="76" min="4618" max="4618"/>
    <col width="4.625" customWidth="1" style="76" min="4619" max="4619"/>
    <col width="2.75" customWidth="1" style="76" min="4620" max="4620"/>
    <col width="2.625" customWidth="1" style="76" min="4621" max="4621"/>
    <col width="9" customWidth="1" style="76" min="4622" max="4864"/>
    <col width="1.25" customWidth="1" style="76" min="4865" max="4865"/>
    <col width="5.375" customWidth="1" style="76" min="4866" max="4866"/>
    <col width="9.75" customWidth="1" style="76" min="4867" max="4867"/>
    <col width="3.875" customWidth="1" style="76" min="4868" max="4868"/>
    <col width="9.75" customWidth="1" style="76" min="4869" max="4869"/>
    <col width="13.625" customWidth="1" style="76" min="4870" max="4870"/>
    <col width="0.125" customWidth="1" style="76" min="4871" max="4871"/>
    <col width="13.5" customWidth="1" style="76" min="4872" max="4872"/>
    <col width="5.5" customWidth="1" style="76" min="4873" max="4873"/>
    <col width="4.5" customWidth="1" style="76" min="4874" max="4874"/>
    <col width="4.625" customWidth="1" style="76" min="4875" max="4875"/>
    <col width="2.75" customWidth="1" style="76" min="4876" max="4876"/>
    <col width="2.625" customWidth="1" style="76" min="4877" max="4877"/>
    <col width="9" customWidth="1" style="76" min="4878" max="5120"/>
    <col width="1.25" customWidth="1" style="76" min="5121" max="5121"/>
    <col width="5.375" customWidth="1" style="76" min="5122" max="5122"/>
    <col width="9.75" customWidth="1" style="76" min="5123" max="5123"/>
    <col width="3.875" customWidth="1" style="76" min="5124" max="5124"/>
    <col width="9.75" customWidth="1" style="76" min="5125" max="5125"/>
    <col width="13.625" customWidth="1" style="76" min="5126" max="5126"/>
    <col width="0.125" customWidth="1" style="76" min="5127" max="5127"/>
    <col width="13.5" customWidth="1" style="76" min="5128" max="5128"/>
    <col width="5.5" customWidth="1" style="76" min="5129" max="5129"/>
    <col width="4.5" customWidth="1" style="76" min="5130" max="5130"/>
    <col width="4.625" customWidth="1" style="76" min="5131" max="5131"/>
    <col width="2.75" customWidth="1" style="76" min="5132" max="5132"/>
    <col width="2.625" customWidth="1" style="76" min="5133" max="5133"/>
    <col width="9" customWidth="1" style="76" min="5134" max="5376"/>
    <col width="1.25" customWidth="1" style="76" min="5377" max="5377"/>
    <col width="5.375" customWidth="1" style="76" min="5378" max="5378"/>
    <col width="9.75" customWidth="1" style="76" min="5379" max="5379"/>
    <col width="3.875" customWidth="1" style="76" min="5380" max="5380"/>
    <col width="9.75" customWidth="1" style="76" min="5381" max="5381"/>
    <col width="13.625" customWidth="1" style="76" min="5382" max="5382"/>
    <col width="0.125" customWidth="1" style="76" min="5383" max="5383"/>
    <col width="13.5" customWidth="1" style="76" min="5384" max="5384"/>
    <col width="5.5" customWidth="1" style="76" min="5385" max="5385"/>
    <col width="4.5" customWidth="1" style="76" min="5386" max="5386"/>
    <col width="4.625" customWidth="1" style="76" min="5387" max="5387"/>
    <col width="2.75" customWidth="1" style="76" min="5388" max="5388"/>
    <col width="2.625" customWidth="1" style="76" min="5389" max="5389"/>
    <col width="9" customWidth="1" style="76" min="5390" max="5632"/>
    <col width="1.25" customWidth="1" style="76" min="5633" max="5633"/>
    <col width="5.375" customWidth="1" style="76" min="5634" max="5634"/>
    <col width="9.75" customWidth="1" style="76" min="5635" max="5635"/>
    <col width="3.875" customWidth="1" style="76" min="5636" max="5636"/>
    <col width="9.75" customWidth="1" style="76" min="5637" max="5637"/>
    <col width="13.625" customWidth="1" style="76" min="5638" max="5638"/>
    <col width="0.125" customWidth="1" style="76" min="5639" max="5639"/>
    <col width="13.5" customWidth="1" style="76" min="5640" max="5640"/>
    <col width="5.5" customWidth="1" style="76" min="5641" max="5641"/>
    <col width="4.5" customWidth="1" style="76" min="5642" max="5642"/>
    <col width="4.625" customWidth="1" style="76" min="5643" max="5643"/>
    <col width="2.75" customWidth="1" style="76" min="5644" max="5644"/>
    <col width="2.625" customWidth="1" style="76" min="5645" max="5645"/>
    <col width="9" customWidth="1" style="76" min="5646" max="5888"/>
    <col width="1.25" customWidth="1" style="76" min="5889" max="5889"/>
    <col width="5.375" customWidth="1" style="76" min="5890" max="5890"/>
    <col width="9.75" customWidth="1" style="76" min="5891" max="5891"/>
    <col width="3.875" customWidth="1" style="76" min="5892" max="5892"/>
    <col width="9.75" customWidth="1" style="76" min="5893" max="5893"/>
    <col width="13.625" customWidth="1" style="76" min="5894" max="5894"/>
    <col width="0.125" customWidth="1" style="76" min="5895" max="5895"/>
    <col width="13.5" customWidth="1" style="76" min="5896" max="5896"/>
    <col width="5.5" customWidth="1" style="76" min="5897" max="5897"/>
    <col width="4.5" customWidth="1" style="76" min="5898" max="5898"/>
    <col width="4.625" customWidth="1" style="76" min="5899" max="5899"/>
    <col width="2.75" customWidth="1" style="76" min="5900" max="5900"/>
    <col width="2.625" customWidth="1" style="76" min="5901" max="5901"/>
    <col width="9" customWidth="1" style="76" min="5902" max="6144"/>
    <col width="1.25" customWidth="1" style="76" min="6145" max="6145"/>
    <col width="5.375" customWidth="1" style="76" min="6146" max="6146"/>
    <col width="9.75" customWidth="1" style="76" min="6147" max="6147"/>
    <col width="3.875" customWidth="1" style="76" min="6148" max="6148"/>
    <col width="9.75" customWidth="1" style="76" min="6149" max="6149"/>
    <col width="13.625" customWidth="1" style="76" min="6150" max="6150"/>
    <col width="0.125" customWidth="1" style="76" min="6151" max="6151"/>
    <col width="13.5" customWidth="1" style="76" min="6152" max="6152"/>
    <col width="5.5" customWidth="1" style="76" min="6153" max="6153"/>
    <col width="4.5" customWidth="1" style="76" min="6154" max="6154"/>
    <col width="4.625" customWidth="1" style="76" min="6155" max="6155"/>
    <col width="2.75" customWidth="1" style="76" min="6156" max="6156"/>
    <col width="2.625" customWidth="1" style="76" min="6157" max="6157"/>
    <col width="9" customWidth="1" style="76" min="6158" max="6400"/>
    <col width="1.25" customWidth="1" style="76" min="6401" max="6401"/>
    <col width="5.375" customWidth="1" style="76" min="6402" max="6402"/>
    <col width="9.75" customWidth="1" style="76" min="6403" max="6403"/>
    <col width="3.875" customWidth="1" style="76" min="6404" max="6404"/>
    <col width="9.75" customWidth="1" style="76" min="6405" max="6405"/>
    <col width="13.625" customWidth="1" style="76" min="6406" max="6406"/>
    <col width="0.125" customWidth="1" style="76" min="6407" max="6407"/>
    <col width="13.5" customWidth="1" style="76" min="6408" max="6408"/>
    <col width="5.5" customWidth="1" style="76" min="6409" max="6409"/>
    <col width="4.5" customWidth="1" style="76" min="6410" max="6410"/>
    <col width="4.625" customWidth="1" style="76" min="6411" max="6411"/>
    <col width="2.75" customWidth="1" style="76" min="6412" max="6412"/>
    <col width="2.625" customWidth="1" style="76" min="6413" max="6413"/>
    <col width="9" customWidth="1" style="76" min="6414" max="6656"/>
    <col width="1.25" customWidth="1" style="76" min="6657" max="6657"/>
    <col width="5.375" customWidth="1" style="76" min="6658" max="6658"/>
    <col width="9.75" customWidth="1" style="76" min="6659" max="6659"/>
    <col width="3.875" customWidth="1" style="76" min="6660" max="6660"/>
    <col width="9.75" customWidth="1" style="76" min="6661" max="6661"/>
    <col width="13.625" customWidth="1" style="76" min="6662" max="6662"/>
    <col width="0.125" customWidth="1" style="76" min="6663" max="6663"/>
    <col width="13.5" customWidth="1" style="76" min="6664" max="6664"/>
    <col width="5.5" customWidth="1" style="76" min="6665" max="6665"/>
    <col width="4.5" customWidth="1" style="76" min="6666" max="6666"/>
    <col width="4.625" customWidth="1" style="76" min="6667" max="6667"/>
    <col width="2.75" customWidth="1" style="76" min="6668" max="6668"/>
    <col width="2.625" customWidth="1" style="76" min="6669" max="6669"/>
    <col width="9" customWidth="1" style="76" min="6670" max="6912"/>
    <col width="1.25" customWidth="1" style="76" min="6913" max="6913"/>
    <col width="5.375" customWidth="1" style="76" min="6914" max="6914"/>
    <col width="9.75" customWidth="1" style="76" min="6915" max="6915"/>
    <col width="3.875" customWidth="1" style="76" min="6916" max="6916"/>
    <col width="9.75" customWidth="1" style="76" min="6917" max="6917"/>
    <col width="13.625" customWidth="1" style="76" min="6918" max="6918"/>
    <col width="0.125" customWidth="1" style="76" min="6919" max="6919"/>
    <col width="13.5" customWidth="1" style="76" min="6920" max="6920"/>
    <col width="5.5" customWidth="1" style="76" min="6921" max="6921"/>
    <col width="4.5" customWidth="1" style="76" min="6922" max="6922"/>
    <col width="4.625" customWidth="1" style="76" min="6923" max="6923"/>
    <col width="2.75" customWidth="1" style="76" min="6924" max="6924"/>
    <col width="2.625" customWidth="1" style="76" min="6925" max="6925"/>
    <col width="9" customWidth="1" style="76" min="6926" max="7168"/>
    <col width="1.25" customWidth="1" style="76" min="7169" max="7169"/>
    <col width="5.375" customWidth="1" style="76" min="7170" max="7170"/>
    <col width="9.75" customWidth="1" style="76" min="7171" max="7171"/>
    <col width="3.875" customWidth="1" style="76" min="7172" max="7172"/>
    <col width="9.75" customWidth="1" style="76" min="7173" max="7173"/>
    <col width="13.625" customWidth="1" style="76" min="7174" max="7174"/>
    <col width="0.125" customWidth="1" style="76" min="7175" max="7175"/>
    <col width="13.5" customWidth="1" style="76" min="7176" max="7176"/>
    <col width="5.5" customWidth="1" style="76" min="7177" max="7177"/>
    <col width="4.5" customWidth="1" style="76" min="7178" max="7178"/>
    <col width="4.625" customWidth="1" style="76" min="7179" max="7179"/>
    <col width="2.75" customWidth="1" style="76" min="7180" max="7180"/>
    <col width="2.625" customWidth="1" style="76" min="7181" max="7181"/>
    <col width="9" customWidth="1" style="76" min="7182" max="7424"/>
    <col width="1.25" customWidth="1" style="76" min="7425" max="7425"/>
    <col width="5.375" customWidth="1" style="76" min="7426" max="7426"/>
    <col width="9.75" customWidth="1" style="76" min="7427" max="7427"/>
    <col width="3.875" customWidth="1" style="76" min="7428" max="7428"/>
    <col width="9.75" customWidth="1" style="76" min="7429" max="7429"/>
    <col width="13.625" customWidth="1" style="76" min="7430" max="7430"/>
    <col width="0.125" customWidth="1" style="76" min="7431" max="7431"/>
    <col width="13.5" customWidth="1" style="76" min="7432" max="7432"/>
    <col width="5.5" customWidth="1" style="76" min="7433" max="7433"/>
    <col width="4.5" customWidth="1" style="76" min="7434" max="7434"/>
    <col width="4.625" customWidth="1" style="76" min="7435" max="7435"/>
    <col width="2.75" customWidth="1" style="76" min="7436" max="7436"/>
    <col width="2.625" customWidth="1" style="76" min="7437" max="7437"/>
    <col width="9" customWidth="1" style="76" min="7438" max="7680"/>
    <col width="1.25" customWidth="1" style="76" min="7681" max="7681"/>
    <col width="5.375" customWidth="1" style="76" min="7682" max="7682"/>
    <col width="9.75" customWidth="1" style="76" min="7683" max="7683"/>
    <col width="3.875" customWidth="1" style="76" min="7684" max="7684"/>
    <col width="9.75" customWidth="1" style="76" min="7685" max="7685"/>
    <col width="13.625" customWidth="1" style="76" min="7686" max="7686"/>
    <col width="0.125" customWidth="1" style="76" min="7687" max="7687"/>
    <col width="13.5" customWidth="1" style="76" min="7688" max="7688"/>
    <col width="5.5" customWidth="1" style="76" min="7689" max="7689"/>
    <col width="4.5" customWidth="1" style="76" min="7690" max="7690"/>
    <col width="4.625" customWidth="1" style="76" min="7691" max="7691"/>
    <col width="2.75" customWidth="1" style="76" min="7692" max="7692"/>
    <col width="2.625" customWidth="1" style="76" min="7693" max="7693"/>
    <col width="9" customWidth="1" style="76" min="7694" max="7936"/>
    <col width="1.25" customWidth="1" style="76" min="7937" max="7937"/>
    <col width="5.375" customWidth="1" style="76" min="7938" max="7938"/>
    <col width="9.75" customWidth="1" style="76" min="7939" max="7939"/>
    <col width="3.875" customWidth="1" style="76" min="7940" max="7940"/>
    <col width="9.75" customWidth="1" style="76" min="7941" max="7941"/>
    <col width="13.625" customWidth="1" style="76" min="7942" max="7942"/>
    <col width="0.125" customWidth="1" style="76" min="7943" max="7943"/>
    <col width="13.5" customWidth="1" style="76" min="7944" max="7944"/>
    <col width="5.5" customWidth="1" style="76" min="7945" max="7945"/>
    <col width="4.5" customWidth="1" style="76" min="7946" max="7946"/>
    <col width="4.625" customWidth="1" style="76" min="7947" max="7947"/>
    <col width="2.75" customWidth="1" style="76" min="7948" max="7948"/>
    <col width="2.625" customWidth="1" style="76" min="7949" max="7949"/>
    <col width="9" customWidth="1" style="76" min="7950" max="8192"/>
    <col width="1.25" customWidth="1" style="76" min="8193" max="8193"/>
    <col width="5.375" customWidth="1" style="76" min="8194" max="8194"/>
    <col width="9.75" customWidth="1" style="76" min="8195" max="8195"/>
    <col width="3.875" customWidth="1" style="76" min="8196" max="8196"/>
    <col width="9.75" customWidth="1" style="76" min="8197" max="8197"/>
    <col width="13.625" customWidth="1" style="76" min="8198" max="8198"/>
    <col width="0.125" customWidth="1" style="76" min="8199" max="8199"/>
    <col width="13.5" customWidth="1" style="76" min="8200" max="8200"/>
    <col width="5.5" customWidth="1" style="76" min="8201" max="8201"/>
    <col width="4.5" customWidth="1" style="76" min="8202" max="8202"/>
    <col width="4.625" customWidth="1" style="76" min="8203" max="8203"/>
    <col width="2.75" customWidth="1" style="76" min="8204" max="8204"/>
    <col width="2.625" customWidth="1" style="76" min="8205" max="8205"/>
    <col width="9" customWidth="1" style="76" min="8206" max="8448"/>
    <col width="1.25" customWidth="1" style="76" min="8449" max="8449"/>
    <col width="5.375" customWidth="1" style="76" min="8450" max="8450"/>
    <col width="9.75" customWidth="1" style="76" min="8451" max="8451"/>
    <col width="3.875" customWidth="1" style="76" min="8452" max="8452"/>
    <col width="9.75" customWidth="1" style="76" min="8453" max="8453"/>
    <col width="13.625" customWidth="1" style="76" min="8454" max="8454"/>
    <col width="0.125" customWidth="1" style="76" min="8455" max="8455"/>
    <col width="13.5" customWidth="1" style="76" min="8456" max="8456"/>
    <col width="5.5" customWidth="1" style="76" min="8457" max="8457"/>
    <col width="4.5" customWidth="1" style="76" min="8458" max="8458"/>
    <col width="4.625" customWidth="1" style="76" min="8459" max="8459"/>
    <col width="2.75" customWidth="1" style="76" min="8460" max="8460"/>
    <col width="2.625" customWidth="1" style="76" min="8461" max="8461"/>
    <col width="9" customWidth="1" style="76" min="8462" max="8704"/>
    <col width="1.25" customWidth="1" style="76" min="8705" max="8705"/>
    <col width="5.375" customWidth="1" style="76" min="8706" max="8706"/>
    <col width="9.75" customWidth="1" style="76" min="8707" max="8707"/>
    <col width="3.875" customWidth="1" style="76" min="8708" max="8708"/>
    <col width="9.75" customWidth="1" style="76" min="8709" max="8709"/>
    <col width="13.625" customWidth="1" style="76" min="8710" max="8710"/>
    <col width="0.125" customWidth="1" style="76" min="8711" max="8711"/>
    <col width="13.5" customWidth="1" style="76" min="8712" max="8712"/>
    <col width="5.5" customWidth="1" style="76" min="8713" max="8713"/>
    <col width="4.5" customWidth="1" style="76" min="8714" max="8714"/>
    <col width="4.625" customWidth="1" style="76" min="8715" max="8715"/>
    <col width="2.75" customWidth="1" style="76" min="8716" max="8716"/>
    <col width="2.625" customWidth="1" style="76" min="8717" max="8717"/>
    <col width="9" customWidth="1" style="76" min="8718" max="8960"/>
    <col width="1.25" customWidth="1" style="76" min="8961" max="8961"/>
    <col width="5.375" customWidth="1" style="76" min="8962" max="8962"/>
    <col width="9.75" customWidth="1" style="76" min="8963" max="8963"/>
    <col width="3.875" customWidth="1" style="76" min="8964" max="8964"/>
    <col width="9.75" customWidth="1" style="76" min="8965" max="8965"/>
    <col width="13.625" customWidth="1" style="76" min="8966" max="8966"/>
    <col width="0.125" customWidth="1" style="76" min="8967" max="8967"/>
    <col width="13.5" customWidth="1" style="76" min="8968" max="8968"/>
    <col width="5.5" customWidth="1" style="76" min="8969" max="8969"/>
    <col width="4.5" customWidth="1" style="76" min="8970" max="8970"/>
    <col width="4.625" customWidth="1" style="76" min="8971" max="8971"/>
    <col width="2.75" customWidth="1" style="76" min="8972" max="8972"/>
    <col width="2.625" customWidth="1" style="76" min="8973" max="8973"/>
    <col width="9" customWidth="1" style="76" min="8974" max="9216"/>
    <col width="1.25" customWidth="1" style="76" min="9217" max="9217"/>
    <col width="5.375" customWidth="1" style="76" min="9218" max="9218"/>
    <col width="9.75" customWidth="1" style="76" min="9219" max="9219"/>
    <col width="3.875" customWidth="1" style="76" min="9220" max="9220"/>
    <col width="9.75" customWidth="1" style="76" min="9221" max="9221"/>
    <col width="13.625" customWidth="1" style="76" min="9222" max="9222"/>
    <col width="0.125" customWidth="1" style="76" min="9223" max="9223"/>
    <col width="13.5" customWidth="1" style="76" min="9224" max="9224"/>
    <col width="5.5" customWidth="1" style="76" min="9225" max="9225"/>
    <col width="4.5" customWidth="1" style="76" min="9226" max="9226"/>
    <col width="4.625" customWidth="1" style="76" min="9227" max="9227"/>
    <col width="2.75" customWidth="1" style="76" min="9228" max="9228"/>
    <col width="2.625" customWidth="1" style="76" min="9229" max="9229"/>
    <col width="9" customWidth="1" style="76" min="9230" max="9472"/>
    <col width="1.25" customWidth="1" style="76" min="9473" max="9473"/>
    <col width="5.375" customWidth="1" style="76" min="9474" max="9474"/>
    <col width="9.75" customWidth="1" style="76" min="9475" max="9475"/>
    <col width="3.875" customWidth="1" style="76" min="9476" max="9476"/>
    <col width="9.75" customWidth="1" style="76" min="9477" max="9477"/>
    <col width="13.625" customWidth="1" style="76" min="9478" max="9478"/>
    <col width="0.125" customWidth="1" style="76" min="9479" max="9479"/>
    <col width="13.5" customWidth="1" style="76" min="9480" max="9480"/>
    <col width="5.5" customWidth="1" style="76" min="9481" max="9481"/>
    <col width="4.5" customWidth="1" style="76" min="9482" max="9482"/>
    <col width="4.625" customWidth="1" style="76" min="9483" max="9483"/>
    <col width="2.75" customWidth="1" style="76" min="9484" max="9484"/>
    <col width="2.625" customWidth="1" style="76" min="9485" max="9485"/>
    <col width="9" customWidth="1" style="76" min="9486" max="9728"/>
    <col width="1.25" customWidth="1" style="76" min="9729" max="9729"/>
    <col width="5.375" customWidth="1" style="76" min="9730" max="9730"/>
    <col width="9.75" customWidth="1" style="76" min="9731" max="9731"/>
    <col width="3.875" customWidth="1" style="76" min="9732" max="9732"/>
    <col width="9.75" customWidth="1" style="76" min="9733" max="9733"/>
    <col width="13.625" customWidth="1" style="76" min="9734" max="9734"/>
    <col width="0.125" customWidth="1" style="76" min="9735" max="9735"/>
    <col width="13.5" customWidth="1" style="76" min="9736" max="9736"/>
    <col width="5.5" customWidth="1" style="76" min="9737" max="9737"/>
    <col width="4.5" customWidth="1" style="76" min="9738" max="9738"/>
    <col width="4.625" customWidth="1" style="76" min="9739" max="9739"/>
    <col width="2.75" customWidth="1" style="76" min="9740" max="9740"/>
    <col width="2.625" customWidth="1" style="76" min="9741" max="9741"/>
    <col width="9" customWidth="1" style="76" min="9742" max="9984"/>
    <col width="1.25" customWidth="1" style="76" min="9985" max="9985"/>
    <col width="5.375" customWidth="1" style="76" min="9986" max="9986"/>
    <col width="9.75" customWidth="1" style="76" min="9987" max="9987"/>
    <col width="3.875" customWidth="1" style="76" min="9988" max="9988"/>
    <col width="9.75" customWidth="1" style="76" min="9989" max="9989"/>
    <col width="13.625" customWidth="1" style="76" min="9990" max="9990"/>
    <col width="0.125" customWidth="1" style="76" min="9991" max="9991"/>
    <col width="13.5" customWidth="1" style="76" min="9992" max="9992"/>
    <col width="5.5" customWidth="1" style="76" min="9993" max="9993"/>
    <col width="4.5" customWidth="1" style="76" min="9994" max="9994"/>
    <col width="4.625" customWidth="1" style="76" min="9995" max="9995"/>
    <col width="2.75" customWidth="1" style="76" min="9996" max="9996"/>
    <col width="2.625" customWidth="1" style="76" min="9997" max="9997"/>
    <col width="9" customWidth="1" style="76" min="9998" max="10240"/>
    <col width="1.25" customWidth="1" style="76" min="10241" max="10241"/>
    <col width="5.375" customWidth="1" style="76" min="10242" max="10242"/>
    <col width="9.75" customWidth="1" style="76" min="10243" max="10243"/>
    <col width="3.875" customWidth="1" style="76" min="10244" max="10244"/>
    <col width="9.75" customWidth="1" style="76" min="10245" max="10245"/>
    <col width="13.625" customWidth="1" style="76" min="10246" max="10246"/>
    <col width="0.125" customWidth="1" style="76" min="10247" max="10247"/>
    <col width="13.5" customWidth="1" style="76" min="10248" max="10248"/>
    <col width="5.5" customWidth="1" style="76" min="10249" max="10249"/>
    <col width="4.5" customWidth="1" style="76" min="10250" max="10250"/>
    <col width="4.625" customWidth="1" style="76" min="10251" max="10251"/>
    <col width="2.75" customWidth="1" style="76" min="10252" max="10252"/>
    <col width="2.625" customWidth="1" style="76" min="10253" max="10253"/>
    <col width="9" customWidth="1" style="76" min="10254" max="10496"/>
    <col width="1.25" customWidth="1" style="76" min="10497" max="10497"/>
    <col width="5.375" customWidth="1" style="76" min="10498" max="10498"/>
    <col width="9.75" customWidth="1" style="76" min="10499" max="10499"/>
    <col width="3.875" customWidth="1" style="76" min="10500" max="10500"/>
    <col width="9.75" customWidth="1" style="76" min="10501" max="10501"/>
    <col width="13.625" customWidth="1" style="76" min="10502" max="10502"/>
    <col width="0.125" customWidth="1" style="76" min="10503" max="10503"/>
    <col width="13.5" customWidth="1" style="76" min="10504" max="10504"/>
    <col width="5.5" customWidth="1" style="76" min="10505" max="10505"/>
    <col width="4.5" customWidth="1" style="76" min="10506" max="10506"/>
    <col width="4.625" customWidth="1" style="76" min="10507" max="10507"/>
    <col width="2.75" customWidth="1" style="76" min="10508" max="10508"/>
    <col width="2.625" customWidth="1" style="76" min="10509" max="10509"/>
    <col width="9" customWidth="1" style="76" min="10510" max="10752"/>
    <col width="1.25" customWidth="1" style="76" min="10753" max="10753"/>
    <col width="5.375" customWidth="1" style="76" min="10754" max="10754"/>
    <col width="9.75" customWidth="1" style="76" min="10755" max="10755"/>
    <col width="3.875" customWidth="1" style="76" min="10756" max="10756"/>
    <col width="9.75" customWidth="1" style="76" min="10757" max="10757"/>
    <col width="13.625" customWidth="1" style="76" min="10758" max="10758"/>
    <col width="0.125" customWidth="1" style="76" min="10759" max="10759"/>
    <col width="13.5" customWidth="1" style="76" min="10760" max="10760"/>
    <col width="5.5" customWidth="1" style="76" min="10761" max="10761"/>
    <col width="4.5" customWidth="1" style="76" min="10762" max="10762"/>
    <col width="4.625" customWidth="1" style="76" min="10763" max="10763"/>
    <col width="2.75" customWidth="1" style="76" min="10764" max="10764"/>
    <col width="2.625" customWidth="1" style="76" min="10765" max="10765"/>
    <col width="9" customWidth="1" style="76" min="10766" max="11008"/>
    <col width="1.25" customWidth="1" style="76" min="11009" max="11009"/>
    <col width="5.375" customWidth="1" style="76" min="11010" max="11010"/>
    <col width="9.75" customWidth="1" style="76" min="11011" max="11011"/>
    <col width="3.875" customWidth="1" style="76" min="11012" max="11012"/>
    <col width="9.75" customWidth="1" style="76" min="11013" max="11013"/>
    <col width="13.625" customWidth="1" style="76" min="11014" max="11014"/>
    <col width="0.125" customWidth="1" style="76" min="11015" max="11015"/>
    <col width="13.5" customWidth="1" style="76" min="11016" max="11016"/>
    <col width="5.5" customWidth="1" style="76" min="11017" max="11017"/>
    <col width="4.5" customWidth="1" style="76" min="11018" max="11018"/>
    <col width="4.625" customWidth="1" style="76" min="11019" max="11019"/>
    <col width="2.75" customWidth="1" style="76" min="11020" max="11020"/>
    <col width="2.625" customWidth="1" style="76" min="11021" max="11021"/>
    <col width="9" customWidth="1" style="76" min="11022" max="11264"/>
    <col width="1.25" customWidth="1" style="76" min="11265" max="11265"/>
    <col width="5.375" customWidth="1" style="76" min="11266" max="11266"/>
    <col width="9.75" customWidth="1" style="76" min="11267" max="11267"/>
    <col width="3.875" customWidth="1" style="76" min="11268" max="11268"/>
    <col width="9.75" customWidth="1" style="76" min="11269" max="11269"/>
    <col width="13.625" customWidth="1" style="76" min="11270" max="11270"/>
    <col width="0.125" customWidth="1" style="76" min="11271" max="11271"/>
    <col width="13.5" customWidth="1" style="76" min="11272" max="11272"/>
    <col width="5.5" customWidth="1" style="76" min="11273" max="11273"/>
    <col width="4.5" customWidth="1" style="76" min="11274" max="11274"/>
    <col width="4.625" customWidth="1" style="76" min="11275" max="11275"/>
    <col width="2.75" customWidth="1" style="76" min="11276" max="11276"/>
    <col width="2.625" customWidth="1" style="76" min="11277" max="11277"/>
    <col width="9" customWidth="1" style="76" min="11278" max="11520"/>
    <col width="1.25" customWidth="1" style="76" min="11521" max="11521"/>
    <col width="5.375" customWidth="1" style="76" min="11522" max="11522"/>
    <col width="9.75" customWidth="1" style="76" min="11523" max="11523"/>
    <col width="3.875" customWidth="1" style="76" min="11524" max="11524"/>
    <col width="9.75" customWidth="1" style="76" min="11525" max="11525"/>
    <col width="13.625" customWidth="1" style="76" min="11526" max="11526"/>
    <col width="0.125" customWidth="1" style="76" min="11527" max="11527"/>
    <col width="13.5" customWidth="1" style="76" min="11528" max="11528"/>
    <col width="5.5" customWidth="1" style="76" min="11529" max="11529"/>
    <col width="4.5" customWidth="1" style="76" min="11530" max="11530"/>
    <col width="4.625" customWidth="1" style="76" min="11531" max="11531"/>
    <col width="2.75" customWidth="1" style="76" min="11532" max="11532"/>
    <col width="2.625" customWidth="1" style="76" min="11533" max="11533"/>
    <col width="9" customWidth="1" style="76" min="11534" max="11776"/>
    <col width="1.25" customWidth="1" style="76" min="11777" max="11777"/>
    <col width="5.375" customWidth="1" style="76" min="11778" max="11778"/>
    <col width="9.75" customWidth="1" style="76" min="11779" max="11779"/>
    <col width="3.875" customWidth="1" style="76" min="11780" max="11780"/>
    <col width="9.75" customWidth="1" style="76" min="11781" max="11781"/>
    <col width="13.625" customWidth="1" style="76" min="11782" max="11782"/>
    <col width="0.125" customWidth="1" style="76" min="11783" max="11783"/>
    <col width="13.5" customWidth="1" style="76" min="11784" max="11784"/>
    <col width="5.5" customWidth="1" style="76" min="11785" max="11785"/>
    <col width="4.5" customWidth="1" style="76" min="11786" max="11786"/>
    <col width="4.625" customWidth="1" style="76" min="11787" max="11787"/>
    <col width="2.75" customWidth="1" style="76" min="11788" max="11788"/>
    <col width="2.625" customWidth="1" style="76" min="11789" max="11789"/>
    <col width="9" customWidth="1" style="76" min="11790" max="12032"/>
    <col width="1.25" customWidth="1" style="76" min="12033" max="12033"/>
    <col width="5.375" customWidth="1" style="76" min="12034" max="12034"/>
    <col width="9.75" customWidth="1" style="76" min="12035" max="12035"/>
    <col width="3.875" customWidth="1" style="76" min="12036" max="12036"/>
    <col width="9.75" customWidth="1" style="76" min="12037" max="12037"/>
    <col width="13.625" customWidth="1" style="76" min="12038" max="12038"/>
    <col width="0.125" customWidth="1" style="76" min="12039" max="12039"/>
    <col width="13.5" customWidth="1" style="76" min="12040" max="12040"/>
    <col width="5.5" customWidth="1" style="76" min="12041" max="12041"/>
    <col width="4.5" customWidth="1" style="76" min="12042" max="12042"/>
    <col width="4.625" customWidth="1" style="76" min="12043" max="12043"/>
    <col width="2.75" customWidth="1" style="76" min="12044" max="12044"/>
    <col width="2.625" customWidth="1" style="76" min="12045" max="12045"/>
    <col width="9" customWidth="1" style="76" min="12046" max="12288"/>
    <col width="1.25" customWidth="1" style="76" min="12289" max="12289"/>
    <col width="5.375" customWidth="1" style="76" min="12290" max="12290"/>
    <col width="9.75" customWidth="1" style="76" min="12291" max="12291"/>
    <col width="3.875" customWidth="1" style="76" min="12292" max="12292"/>
    <col width="9.75" customWidth="1" style="76" min="12293" max="12293"/>
    <col width="13.625" customWidth="1" style="76" min="12294" max="12294"/>
    <col width="0.125" customWidth="1" style="76" min="12295" max="12295"/>
    <col width="13.5" customWidth="1" style="76" min="12296" max="12296"/>
    <col width="5.5" customWidth="1" style="76" min="12297" max="12297"/>
    <col width="4.5" customWidth="1" style="76" min="12298" max="12298"/>
    <col width="4.625" customWidth="1" style="76" min="12299" max="12299"/>
    <col width="2.75" customWidth="1" style="76" min="12300" max="12300"/>
    <col width="2.625" customWidth="1" style="76" min="12301" max="12301"/>
    <col width="9" customWidth="1" style="76" min="12302" max="12544"/>
    <col width="1.25" customWidth="1" style="76" min="12545" max="12545"/>
    <col width="5.375" customWidth="1" style="76" min="12546" max="12546"/>
    <col width="9.75" customWidth="1" style="76" min="12547" max="12547"/>
    <col width="3.875" customWidth="1" style="76" min="12548" max="12548"/>
    <col width="9.75" customWidth="1" style="76" min="12549" max="12549"/>
    <col width="13.625" customWidth="1" style="76" min="12550" max="12550"/>
    <col width="0.125" customWidth="1" style="76" min="12551" max="12551"/>
    <col width="13.5" customWidth="1" style="76" min="12552" max="12552"/>
    <col width="5.5" customWidth="1" style="76" min="12553" max="12553"/>
    <col width="4.5" customWidth="1" style="76" min="12554" max="12554"/>
    <col width="4.625" customWidth="1" style="76" min="12555" max="12555"/>
    <col width="2.75" customWidth="1" style="76" min="12556" max="12556"/>
    <col width="2.625" customWidth="1" style="76" min="12557" max="12557"/>
    <col width="9" customWidth="1" style="76" min="12558" max="12800"/>
    <col width="1.25" customWidth="1" style="76" min="12801" max="12801"/>
    <col width="5.375" customWidth="1" style="76" min="12802" max="12802"/>
    <col width="9.75" customWidth="1" style="76" min="12803" max="12803"/>
    <col width="3.875" customWidth="1" style="76" min="12804" max="12804"/>
    <col width="9.75" customWidth="1" style="76" min="12805" max="12805"/>
    <col width="13.625" customWidth="1" style="76" min="12806" max="12806"/>
    <col width="0.125" customWidth="1" style="76" min="12807" max="12807"/>
    <col width="13.5" customWidth="1" style="76" min="12808" max="12808"/>
    <col width="5.5" customWidth="1" style="76" min="12809" max="12809"/>
    <col width="4.5" customWidth="1" style="76" min="12810" max="12810"/>
    <col width="4.625" customWidth="1" style="76" min="12811" max="12811"/>
    <col width="2.75" customWidth="1" style="76" min="12812" max="12812"/>
    <col width="2.625" customWidth="1" style="76" min="12813" max="12813"/>
    <col width="9" customWidth="1" style="76" min="12814" max="13056"/>
    <col width="1.25" customWidth="1" style="76" min="13057" max="13057"/>
    <col width="5.375" customWidth="1" style="76" min="13058" max="13058"/>
    <col width="9.75" customWidth="1" style="76" min="13059" max="13059"/>
    <col width="3.875" customWidth="1" style="76" min="13060" max="13060"/>
    <col width="9.75" customWidth="1" style="76" min="13061" max="13061"/>
    <col width="13.625" customWidth="1" style="76" min="13062" max="13062"/>
    <col width="0.125" customWidth="1" style="76" min="13063" max="13063"/>
    <col width="13.5" customWidth="1" style="76" min="13064" max="13064"/>
    <col width="5.5" customWidth="1" style="76" min="13065" max="13065"/>
    <col width="4.5" customWidth="1" style="76" min="13066" max="13066"/>
    <col width="4.625" customWidth="1" style="76" min="13067" max="13067"/>
    <col width="2.75" customWidth="1" style="76" min="13068" max="13068"/>
    <col width="2.625" customWidth="1" style="76" min="13069" max="13069"/>
    <col width="9" customWidth="1" style="76" min="13070" max="13312"/>
    <col width="1.25" customWidth="1" style="76" min="13313" max="13313"/>
    <col width="5.375" customWidth="1" style="76" min="13314" max="13314"/>
    <col width="9.75" customWidth="1" style="76" min="13315" max="13315"/>
    <col width="3.875" customWidth="1" style="76" min="13316" max="13316"/>
    <col width="9.75" customWidth="1" style="76" min="13317" max="13317"/>
    <col width="13.625" customWidth="1" style="76" min="13318" max="13318"/>
    <col width="0.125" customWidth="1" style="76" min="13319" max="13319"/>
    <col width="13.5" customWidth="1" style="76" min="13320" max="13320"/>
    <col width="5.5" customWidth="1" style="76" min="13321" max="13321"/>
    <col width="4.5" customWidth="1" style="76" min="13322" max="13322"/>
    <col width="4.625" customWidth="1" style="76" min="13323" max="13323"/>
    <col width="2.75" customWidth="1" style="76" min="13324" max="13324"/>
    <col width="2.625" customWidth="1" style="76" min="13325" max="13325"/>
    <col width="9" customWidth="1" style="76" min="13326" max="13568"/>
    <col width="1.25" customWidth="1" style="76" min="13569" max="13569"/>
    <col width="5.375" customWidth="1" style="76" min="13570" max="13570"/>
    <col width="9.75" customWidth="1" style="76" min="13571" max="13571"/>
    <col width="3.875" customWidth="1" style="76" min="13572" max="13572"/>
    <col width="9.75" customWidth="1" style="76" min="13573" max="13573"/>
    <col width="13.625" customWidth="1" style="76" min="13574" max="13574"/>
    <col width="0.125" customWidth="1" style="76" min="13575" max="13575"/>
    <col width="13.5" customWidth="1" style="76" min="13576" max="13576"/>
    <col width="5.5" customWidth="1" style="76" min="13577" max="13577"/>
    <col width="4.5" customWidth="1" style="76" min="13578" max="13578"/>
    <col width="4.625" customWidth="1" style="76" min="13579" max="13579"/>
    <col width="2.75" customWidth="1" style="76" min="13580" max="13580"/>
    <col width="2.625" customWidth="1" style="76" min="13581" max="13581"/>
    <col width="9" customWidth="1" style="76" min="13582" max="13824"/>
    <col width="1.25" customWidth="1" style="76" min="13825" max="13825"/>
    <col width="5.375" customWidth="1" style="76" min="13826" max="13826"/>
    <col width="9.75" customWidth="1" style="76" min="13827" max="13827"/>
    <col width="3.875" customWidth="1" style="76" min="13828" max="13828"/>
    <col width="9.75" customWidth="1" style="76" min="13829" max="13829"/>
    <col width="13.625" customWidth="1" style="76" min="13830" max="13830"/>
    <col width="0.125" customWidth="1" style="76" min="13831" max="13831"/>
    <col width="13.5" customWidth="1" style="76" min="13832" max="13832"/>
    <col width="5.5" customWidth="1" style="76" min="13833" max="13833"/>
    <col width="4.5" customWidth="1" style="76" min="13834" max="13834"/>
    <col width="4.625" customWidth="1" style="76" min="13835" max="13835"/>
    <col width="2.75" customWidth="1" style="76" min="13836" max="13836"/>
    <col width="2.625" customWidth="1" style="76" min="13837" max="13837"/>
    <col width="9" customWidth="1" style="76" min="13838" max="14080"/>
    <col width="1.25" customWidth="1" style="76" min="14081" max="14081"/>
    <col width="5.375" customWidth="1" style="76" min="14082" max="14082"/>
    <col width="9.75" customWidth="1" style="76" min="14083" max="14083"/>
    <col width="3.875" customWidth="1" style="76" min="14084" max="14084"/>
    <col width="9.75" customWidth="1" style="76" min="14085" max="14085"/>
    <col width="13.625" customWidth="1" style="76" min="14086" max="14086"/>
    <col width="0.125" customWidth="1" style="76" min="14087" max="14087"/>
    <col width="13.5" customWidth="1" style="76" min="14088" max="14088"/>
    <col width="5.5" customWidth="1" style="76" min="14089" max="14089"/>
    <col width="4.5" customWidth="1" style="76" min="14090" max="14090"/>
    <col width="4.625" customWidth="1" style="76" min="14091" max="14091"/>
    <col width="2.75" customWidth="1" style="76" min="14092" max="14092"/>
    <col width="2.625" customWidth="1" style="76" min="14093" max="14093"/>
    <col width="9" customWidth="1" style="76" min="14094" max="14336"/>
    <col width="1.25" customWidth="1" style="76" min="14337" max="14337"/>
    <col width="5.375" customWidth="1" style="76" min="14338" max="14338"/>
    <col width="9.75" customWidth="1" style="76" min="14339" max="14339"/>
    <col width="3.875" customWidth="1" style="76" min="14340" max="14340"/>
    <col width="9.75" customWidth="1" style="76" min="14341" max="14341"/>
    <col width="13.625" customWidth="1" style="76" min="14342" max="14342"/>
    <col width="0.125" customWidth="1" style="76" min="14343" max="14343"/>
    <col width="13.5" customWidth="1" style="76" min="14344" max="14344"/>
    <col width="5.5" customWidth="1" style="76" min="14345" max="14345"/>
    <col width="4.5" customWidth="1" style="76" min="14346" max="14346"/>
    <col width="4.625" customWidth="1" style="76" min="14347" max="14347"/>
    <col width="2.75" customWidth="1" style="76" min="14348" max="14348"/>
    <col width="2.625" customWidth="1" style="76" min="14349" max="14349"/>
    <col width="9" customWidth="1" style="76" min="14350" max="14592"/>
    <col width="1.25" customWidth="1" style="76" min="14593" max="14593"/>
    <col width="5.375" customWidth="1" style="76" min="14594" max="14594"/>
    <col width="9.75" customWidth="1" style="76" min="14595" max="14595"/>
    <col width="3.875" customWidth="1" style="76" min="14596" max="14596"/>
    <col width="9.75" customWidth="1" style="76" min="14597" max="14597"/>
    <col width="13.625" customWidth="1" style="76" min="14598" max="14598"/>
    <col width="0.125" customWidth="1" style="76" min="14599" max="14599"/>
    <col width="13.5" customWidth="1" style="76" min="14600" max="14600"/>
    <col width="5.5" customWidth="1" style="76" min="14601" max="14601"/>
    <col width="4.5" customWidth="1" style="76" min="14602" max="14602"/>
    <col width="4.625" customWidth="1" style="76" min="14603" max="14603"/>
    <col width="2.75" customWidth="1" style="76" min="14604" max="14604"/>
    <col width="2.625" customWidth="1" style="76" min="14605" max="14605"/>
    <col width="9" customWidth="1" style="76" min="14606" max="14848"/>
    <col width="1.25" customWidth="1" style="76" min="14849" max="14849"/>
    <col width="5.375" customWidth="1" style="76" min="14850" max="14850"/>
    <col width="9.75" customWidth="1" style="76" min="14851" max="14851"/>
    <col width="3.875" customWidth="1" style="76" min="14852" max="14852"/>
    <col width="9.75" customWidth="1" style="76" min="14853" max="14853"/>
    <col width="13.625" customWidth="1" style="76" min="14854" max="14854"/>
    <col width="0.125" customWidth="1" style="76" min="14855" max="14855"/>
    <col width="13.5" customWidth="1" style="76" min="14856" max="14856"/>
    <col width="5.5" customWidth="1" style="76" min="14857" max="14857"/>
    <col width="4.5" customWidth="1" style="76" min="14858" max="14858"/>
    <col width="4.625" customWidth="1" style="76" min="14859" max="14859"/>
    <col width="2.75" customWidth="1" style="76" min="14860" max="14860"/>
    <col width="2.625" customWidth="1" style="76" min="14861" max="14861"/>
    <col width="9" customWidth="1" style="76" min="14862" max="15104"/>
    <col width="1.25" customWidth="1" style="76" min="15105" max="15105"/>
    <col width="5.375" customWidth="1" style="76" min="15106" max="15106"/>
    <col width="9.75" customWidth="1" style="76" min="15107" max="15107"/>
    <col width="3.875" customWidth="1" style="76" min="15108" max="15108"/>
    <col width="9.75" customWidth="1" style="76" min="15109" max="15109"/>
    <col width="13.625" customWidth="1" style="76" min="15110" max="15110"/>
    <col width="0.125" customWidth="1" style="76" min="15111" max="15111"/>
    <col width="13.5" customWidth="1" style="76" min="15112" max="15112"/>
    <col width="5.5" customWidth="1" style="76" min="15113" max="15113"/>
    <col width="4.5" customWidth="1" style="76" min="15114" max="15114"/>
    <col width="4.625" customWidth="1" style="76" min="15115" max="15115"/>
    <col width="2.75" customWidth="1" style="76" min="15116" max="15116"/>
    <col width="2.625" customWidth="1" style="76" min="15117" max="15117"/>
    <col width="9" customWidth="1" style="76" min="15118" max="15360"/>
    <col width="1.25" customWidth="1" style="76" min="15361" max="15361"/>
    <col width="5.375" customWidth="1" style="76" min="15362" max="15362"/>
    <col width="9.75" customWidth="1" style="76" min="15363" max="15363"/>
    <col width="3.875" customWidth="1" style="76" min="15364" max="15364"/>
    <col width="9.75" customWidth="1" style="76" min="15365" max="15365"/>
    <col width="13.625" customWidth="1" style="76" min="15366" max="15366"/>
    <col width="0.125" customWidth="1" style="76" min="15367" max="15367"/>
    <col width="13.5" customWidth="1" style="76" min="15368" max="15368"/>
    <col width="5.5" customWidth="1" style="76" min="15369" max="15369"/>
    <col width="4.5" customWidth="1" style="76" min="15370" max="15370"/>
    <col width="4.625" customWidth="1" style="76" min="15371" max="15371"/>
    <col width="2.75" customWidth="1" style="76" min="15372" max="15372"/>
    <col width="2.625" customWidth="1" style="76" min="15373" max="15373"/>
    <col width="9" customWidth="1" style="76" min="15374" max="15616"/>
    <col width="1.25" customWidth="1" style="76" min="15617" max="15617"/>
    <col width="5.375" customWidth="1" style="76" min="15618" max="15618"/>
    <col width="9.75" customWidth="1" style="76" min="15619" max="15619"/>
    <col width="3.875" customWidth="1" style="76" min="15620" max="15620"/>
    <col width="9.75" customWidth="1" style="76" min="15621" max="15621"/>
    <col width="13.625" customWidth="1" style="76" min="15622" max="15622"/>
    <col width="0.125" customWidth="1" style="76" min="15623" max="15623"/>
    <col width="13.5" customWidth="1" style="76" min="15624" max="15624"/>
    <col width="5.5" customWidth="1" style="76" min="15625" max="15625"/>
    <col width="4.5" customWidth="1" style="76" min="15626" max="15626"/>
    <col width="4.625" customWidth="1" style="76" min="15627" max="15627"/>
    <col width="2.75" customWidth="1" style="76" min="15628" max="15628"/>
    <col width="2.625" customWidth="1" style="76" min="15629" max="15629"/>
    <col width="9" customWidth="1" style="76" min="15630" max="15872"/>
    <col width="1.25" customWidth="1" style="76" min="15873" max="15873"/>
    <col width="5.375" customWidth="1" style="76" min="15874" max="15874"/>
    <col width="9.75" customWidth="1" style="76" min="15875" max="15875"/>
    <col width="3.875" customWidth="1" style="76" min="15876" max="15876"/>
    <col width="9.75" customWidth="1" style="76" min="15877" max="15877"/>
    <col width="13.625" customWidth="1" style="76" min="15878" max="15878"/>
    <col width="0.125" customWidth="1" style="76" min="15879" max="15879"/>
    <col width="13.5" customWidth="1" style="76" min="15880" max="15880"/>
    <col width="5.5" customWidth="1" style="76" min="15881" max="15881"/>
    <col width="4.5" customWidth="1" style="76" min="15882" max="15882"/>
    <col width="4.625" customWidth="1" style="76" min="15883" max="15883"/>
    <col width="2.75" customWidth="1" style="76" min="15884" max="15884"/>
    <col width="2.625" customWidth="1" style="76" min="15885" max="15885"/>
    <col width="9" customWidth="1" style="76" min="15886" max="16128"/>
    <col width="1.25" customWidth="1" style="76" min="16129" max="16129"/>
    <col width="5.375" customWidth="1" style="76" min="16130" max="16130"/>
    <col width="9.75" customWidth="1" style="76" min="16131" max="16131"/>
    <col width="3.875" customWidth="1" style="76" min="16132" max="16132"/>
    <col width="9.75" customWidth="1" style="76" min="16133" max="16133"/>
    <col width="13.625" customWidth="1" style="76" min="16134" max="16134"/>
    <col width="0.125" customWidth="1" style="76" min="16135" max="16135"/>
    <col width="13.5" customWidth="1" style="76" min="16136" max="16136"/>
    <col width="5.5" customWidth="1" style="76" min="16137" max="16137"/>
    <col width="4.5" customWidth="1" style="76" min="16138" max="16138"/>
    <col width="4.625" customWidth="1" style="76" min="16139" max="16139"/>
    <col width="2.75" customWidth="1" style="76" min="16140" max="16140"/>
    <col width="2.625" customWidth="1" style="76" min="16141" max="16141"/>
    <col width="9" customWidth="1" style="76" min="16142" max="16384"/>
  </cols>
  <sheetData>
    <row r="1" ht="18.4" customHeight="1" s="125"/>
    <row r="2" ht="56.85" customHeight="1" s="125">
      <c r="B2" s="100" t="inlineStr">
        <is>
          <t>입출금거래내역</t>
        </is>
      </c>
    </row>
    <row r="3" ht="8.449999999999999" customHeight="1" s="125"/>
    <row r="4" ht="8.65" customHeight="1" s="125"/>
    <row r="5" ht="19.9" customHeight="1" s="125">
      <c r="B5" s="97" t="inlineStr">
        <is>
          <t>현재시간 : 2025년 03월 04일 14시 05분 55초</t>
        </is>
      </c>
    </row>
    <row r="6" ht="19.9" customHeight="1" s="125">
      <c r="B6" s="98" t="inlineStr">
        <is>
          <t>계좌번호</t>
        </is>
      </c>
      <c r="C6" s="142" t="n"/>
      <c r="D6" s="143" t="n"/>
      <c r="E6" s="99" t="inlineStr">
        <is>
          <t>317-0029-5632-11</t>
        </is>
      </c>
      <c r="F6" s="142" t="n"/>
      <c r="G6" s="143" t="n"/>
      <c r="H6" s="98" t="inlineStr">
        <is>
          <t>예금종류</t>
        </is>
      </c>
      <c r="I6" s="143" t="n"/>
      <c r="J6" s="99" t="inlineStr">
        <is>
          <t>기업자유예금</t>
        </is>
      </c>
      <c r="K6" s="142" t="n"/>
      <c r="L6" s="142" t="n"/>
      <c r="M6" s="142" t="n"/>
      <c r="N6" s="143" t="n"/>
    </row>
    <row r="7" ht="19.9" customHeight="1" s="125">
      <c r="B7" s="98" t="inlineStr">
        <is>
          <t>예금주명</t>
        </is>
      </c>
      <c r="C7" s="142" t="n"/>
      <c r="D7" s="143" t="n"/>
      <c r="E7" s="99" t="inlineStr">
        <is>
          <t>트리거-글로벌PEX투자조합</t>
        </is>
      </c>
      <c r="F7" s="142" t="n"/>
      <c r="G7" s="142" t="n"/>
      <c r="H7" s="142" t="n"/>
      <c r="I7" s="142" t="n"/>
      <c r="J7" s="142" t="n"/>
      <c r="K7" s="142" t="n"/>
      <c r="L7" s="142" t="n"/>
      <c r="M7" s="142" t="n"/>
      <c r="N7" s="143" t="n"/>
    </row>
    <row r="8" ht="19.9" customHeight="1" s="125">
      <c r="B8" s="98" t="inlineStr">
        <is>
          <t>조회기간</t>
        </is>
      </c>
      <c r="C8" s="142" t="n"/>
      <c r="D8" s="143" t="n"/>
      <c r="E8" s="99" t="inlineStr">
        <is>
          <t>2025/02/01 ~ 2025/02/28</t>
        </is>
      </c>
      <c r="F8" s="142" t="n"/>
      <c r="G8" s="142" t="n"/>
      <c r="H8" s="142" t="n"/>
      <c r="I8" s="142" t="n"/>
      <c r="J8" s="142" t="n"/>
      <c r="K8" s="142" t="n"/>
      <c r="L8" s="142" t="n"/>
      <c r="M8" s="142" t="n"/>
      <c r="N8" s="143" t="n"/>
    </row>
    <row r="9" ht="19.9" customHeight="1" s="125">
      <c r="B9" s="98" t="inlineStr">
        <is>
          <t>현재통화잔액</t>
        </is>
      </c>
      <c r="C9" s="142" t="n"/>
      <c r="D9" s="143" t="n"/>
      <c r="E9" s="93" t="inlineStr">
        <is>
          <t>522,032,230원</t>
        </is>
      </c>
      <c r="F9" s="142" t="n"/>
      <c r="G9" s="143" t="n"/>
      <c r="H9" s="98" t="inlineStr">
        <is>
          <t>현재지급가능잔액</t>
        </is>
      </c>
      <c r="I9" s="143" t="n"/>
      <c r="J9" s="93" t="inlineStr">
        <is>
          <t>522,032,230원</t>
        </is>
      </c>
      <c r="K9" s="142" t="n"/>
      <c r="L9" s="142" t="n"/>
      <c r="M9" s="142" t="n"/>
      <c r="N9" s="143" t="n"/>
    </row>
    <row r="10" ht="8.449999999999999" customHeight="1" s="125"/>
    <row r="11" ht="19.9" customHeight="1" s="125">
      <c r="B11" s="96" t="inlineStr">
        <is>
          <t>전체</t>
        </is>
      </c>
      <c r="M11" s="97" t="inlineStr">
        <is>
          <t>(단위: 원)</t>
        </is>
      </c>
    </row>
    <row r="12" ht="19.9" customHeight="1" s="125">
      <c r="B12" s="98" t="inlineStr">
        <is>
          <t>구분</t>
        </is>
      </c>
      <c r="C12" s="98" t="inlineStr">
        <is>
          <t>거래일자</t>
        </is>
      </c>
      <c r="D12" s="98" t="inlineStr">
        <is>
          <t>출금금액</t>
        </is>
      </c>
      <c r="E12" s="143" t="n"/>
      <c r="F12" s="98" t="inlineStr">
        <is>
          <t>입금금액</t>
        </is>
      </c>
      <c r="G12" s="98" t="inlineStr">
        <is>
          <t>거래후잔액</t>
        </is>
      </c>
      <c r="H12" s="143" t="n"/>
      <c r="I12" s="98" t="inlineStr">
        <is>
          <t>거래내용</t>
        </is>
      </c>
      <c r="J12" s="143" t="n"/>
      <c r="K12" s="98" t="inlineStr">
        <is>
          <t>거래기록사항</t>
        </is>
      </c>
      <c r="L12" s="142" t="n"/>
      <c r="M12" s="143" t="n"/>
      <c r="N12" s="98" t="inlineStr">
        <is>
          <t>거래점</t>
        </is>
      </c>
    </row>
    <row r="13" ht="28.35" customHeight="1" s="125">
      <c r="B13" s="94" t="inlineStr">
        <is>
          <t>1</t>
        </is>
      </c>
      <c r="C13" s="94" t="inlineStr">
        <is>
          <t>2025/02/25 15:15:58</t>
        </is>
      </c>
      <c r="D13" s="93" t="inlineStr">
        <is>
          <t>500,000,000원</t>
        </is>
      </c>
      <c r="E13" s="143" t="n"/>
      <c r="F13" s="93" t="n"/>
      <c r="G13" s="93" t="inlineStr">
        <is>
          <t>522,032,230원</t>
        </is>
      </c>
      <c r="H13" s="143" t="n"/>
      <c r="I13" s="94" t="inlineStr">
        <is>
          <t>NH증권수탁</t>
        </is>
      </c>
      <c r="J13" s="143" t="n"/>
      <c r="K13" s="94" t="inlineStr">
        <is>
          <t>주식회사　제이엘스탠</t>
        </is>
      </c>
      <c r="L13" s="142" t="n"/>
      <c r="M13" s="143" t="n"/>
      <c r="N13" s="94" t="inlineStr">
        <is>
          <t>농협 000221</t>
        </is>
      </c>
    </row>
    <row r="14" ht="28.35" customHeight="1" s="125">
      <c r="B14" s="94" t="inlineStr">
        <is>
          <t>2</t>
        </is>
      </c>
      <c r="C14" s="94" t="inlineStr">
        <is>
          <t>2025/02/25 15:15:57</t>
        </is>
      </c>
      <c r="D14" s="93" t="inlineStr">
        <is>
          <t>1,000,000,000원</t>
        </is>
      </c>
      <c r="E14" s="143" t="n"/>
      <c r="F14" s="93" t="n"/>
      <c r="G14" s="93" t="inlineStr">
        <is>
          <t>1,022,032,230원</t>
        </is>
      </c>
      <c r="H14" s="143" t="n"/>
      <c r="I14" s="94" t="inlineStr">
        <is>
          <t>NH증권수탁</t>
        </is>
      </c>
      <c r="J14" s="143" t="n"/>
      <c r="K14" s="94" t="inlineStr">
        <is>
          <t>주식회사　제이엘스탠</t>
        </is>
      </c>
      <c r="L14" s="142" t="n"/>
      <c r="M14" s="143" t="n"/>
      <c r="N14" s="94" t="inlineStr">
        <is>
          <t>농협 000221</t>
        </is>
      </c>
    </row>
    <row r="15" ht="28.35" customHeight="1" s="125">
      <c r="B15" s="94" t="inlineStr">
        <is>
          <t>3</t>
        </is>
      </c>
      <c r="C15" s="94" t="inlineStr">
        <is>
          <t>2025/02/24 12:48:07</t>
        </is>
      </c>
      <c r="D15" s="93" t="n"/>
      <c r="E15" s="143" t="n"/>
      <c r="F15" s="93" t="inlineStr">
        <is>
          <t>300,000,000원</t>
        </is>
      </c>
      <c r="G15" s="93" t="inlineStr">
        <is>
          <t>2,022,032,230원</t>
        </is>
      </c>
      <c r="H15" s="143" t="n"/>
      <c r="I15" s="94" t="inlineStr">
        <is>
          <t>E-우리은행</t>
        </is>
      </c>
      <c r="J15" s="143" t="n"/>
      <c r="K15" s="94" t="inlineStr">
        <is>
          <t>주식회사러셀파트너</t>
        </is>
      </c>
      <c r="L15" s="142" t="n"/>
      <c r="M15" s="143" t="n"/>
      <c r="N15" s="94" t="inlineStr">
        <is>
          <t>우리 0209966</t>
        </is>
      </c>
    </row>
    <row r="16" ht="28.35" customHeight="1" s="125">
      <c r="B16" s="94" t="inlineStr">
        <is>
          <t>4</t>
        </is>
      </c>
      <c r="C16" s="94" t="inlineStr">
        <is>
          <t>2025/02/24 12:17:51</t>
        </is>
      </c>
      <c r="D16" s="93" t="n"/>
      <c r="E16" s="143" t="n"/>
      <c r="F16" s="93" t="inlineStr">
        <is>
          <t>600,000,000원</t>
        </is>
      </c>
      <c r="G16" s="93" t="inlineStr">
        <is>
          <t>1,722,032,230원</t>
        </is>
      </c>
      <c r="H16" s="143" t="n"/>
      <c r="I16" s="94" t="inlineStr">
        <is>
          <t>NH증권수탁</t>
        </is>
      </c>
      <c r="J16" s="143" t="n"/>
      <c r="K16" s="94" t="inlineStr">
        <is>
          <t>농식품모태펀</t>
        </is>
      </c>
      <c r="L16" s="142" t="n"/>
      <c r="M16" s="143" t="n"/>
      <c r="N16" s="94" t="inlineStr">
        <is>
          <t>농협 000221</t>
        </is>
      </c>
    </row>
    <row r="17" ht="28.35" customHeight="1" s="125">
      <c r="B17" s="94" t="inlineStr">
        <is>
          <t>5</t>
        </is>
      </c>
      <c r="C17" s="94" t="inlineStr">
        <is>
          <t>2025/02/24 11:05:26</t>
        </is>
      </c>
      <c r="D17" s="93" t="n"/>
      <c r="E17" s="143" t="n"/>
      <c r="F17" s="93" t="inlineStr">
        <is>
          <t>11,000,000원</t>
        </is>
      </c>
      <c r="G17" s="93" t="inlineStr">
        <is>
          <t>1,122,032,230원</t>
        </is>
      </c>
      <c r="H17" s="143" t="n"/>
      <c r="I17" s="94" t="inlineStr">
        <is>
          <t>E-기업은행</t>
        </is>
      </c>
      <c r="J17" s="143" t="n"/>
      <c r="K17" s="94" t="inlineStr">
        <is>
          <t>트리거투자파트너스</t>
        </is>
      </c>
      <c r="L17" s="142" t="n"/>
      <c r="M17" s="143" t="n"/>
      <c r="N17" s="94" t="inlineStr">
        <is>
          <t>기업 0034775</t>
        </is>
      </c>
    </row>
    <row r="18" ht="28.35" customHeight="1" s="125">
      <c r="B18" s="94" t="inlineStr">
        <is>
          <t>6</t>
        </is>
      </c>
      <c r="C18" s="94" t="inlineStr">
        <is>
          <t>2025/02/23 09:20:16</t>
        </is>
      </c>
      <c r="D18" s="93" t="n"/>
      <c r="E18" s="143" t="n"/>
      <c r="F18" s="93" t="inlineStr">
        <is>
          <t>466,780원</t>
        </is>
      </c>
      <c r="G18" s="93" t="inlineStr">
        <is>
          <t>1,111,032,230원</t>
        </is>
      </c>
      <c r="H18" s="143" t="n"/>
      <c r="I18" s="94" t="inlineStr">
        <is>
          <t>예금이자</t>
        </is>
      </c>
      <c r="J18" s="143" t="n"/>
      <c r="K18" s="94" t="n"/>
      <c r="L18" s="142" t="n"/>
      <c r="M18" s="143" t="n"/>
      <c r="N18" s="94" t="inlineStr">
        <is>
          <t>농협 000676</t>
        </is>
      </c>
    </row>
    <row r="19" ht="28.35" customHeight="1" s="125">
      <c r="B19" s="94" t="inlineStr">
        <is>
          <t>7</t>
        </is>
      </c>
      <c r="C19" s="94" t="inlineStr">
        <is>
          <t>2025/02/17 14:46:49</t>
        </is>
      </c>
      <c r="D19" s="93" t="n"/>
      <c r="E19" s="143" t="n"/>
      <c r="F19" s="93" t="inlineStr">
        <is>
          <t>100,000,000원</t>
        </is>
      </c>
      <c r="G19" s="93" t="inlineStr">
        <is>
          <t>1,110,565,450원</t>
        </is>
      </c>
      <c r="H19" s="143" t="n"/>
      <c r="I19" s="94" t="inlineStr">
        <is>
          <t>E-우리은행</t>
        </is>
      </c>
      <c r="J19" s="143" t="n"/>
      <c r="K19" s="94" t="inlineStr">
        <is>
          <t>인앤솔루션(주)</t>
        </is>
      </c>
      <c r="L19" s="142" t="n"/>
      <c r="M19" s="143" t="n"/>
      <c r="N19" s="94" t="inlineStr">
        <is>
          <t>우리 0205290</t>
        </is>
      </c>
    </row>
    <row r="20" ht="11.45" customHeight="1" s="125"/>
    <row r="21" ht="42.6" customHeight="1" s="125">
      <c r="B21" s="95" t="inlineStr">
        <is>
          <t>· 고객님이 요청하신 대로 위와 같이 처리되었습니다.
· 본 확인증은 고객님의 편의를 위하여 제공되는 것으로 법적 효력은 없습니다.
· 농협 인터넷뱅킹을 이용해 주셔서 대단히 감사합니다.</t>
        </is>
      </c>
      <c r="C21" s="142" t="n"/>
      <c r="D21" s="142" t="n"/>
      <c r="E21" s="142" t="n"/>
      <c r="F21" s="142" t="n"/>
      <c r="G21" s="142" t="n"/>
      <c r="H21" s="142" t="n"/>
      <c r="I21" s="142" t="n"/>
      <c r="J21" s="142" t="n"/>
      <c r="K21" s="142" t="n"/>
      <c r="L21" s="142" t="n"/>
      <c r="M21" s="142" t="n"/>
      <c r="N21" s="143" t="n"/>
    </row>
    <row r="22" ht="8.65" customHeight="1" s="125"/>
  </sheetData>
  <mergeCells count="49">
    <mergeCell ref="G12:H12"/>
    <mergeCell ref="I15:J15"/>
    <mergeCell ref="D19:E19"/>
    <mergeCell ref="B8:D8"/>
    <mergeCell ref="E9:G9"/>
    <mergeCell ref="E7:N7"/>
    <mergeCell ref="K12:M12"/>
    <mergeCell ref="G17:H17"/>
    <mergeCell ref="H9:I9"/>
    <mergeCell ref="E6:G6"/>
    <mergeCell ref="B5:N5"/>
    <mergeCell ref="J9:N9"/>
    <mergeCell ref="H6:I6"/>
    <mergeCell ref="M11:N11"/>
    <mergeCell ref="I16:J16"/>
    <mergeCell ref="D13:E13"/>
    <mergeCell ref="K14:M14"/>
    <mergeCell ref="J6:N6"/>
    <mergeCell ref="B11:L11"/>
    <mergeCell ref="G19:H19"/>
    <mergeCell ref="B9:D9"/>
    <mergeCell ref="G13:H13"/>
    <mergeCell ref="K17:M17"/>
    <mergeCell ref="G18:H18"/>
    <mergeCell ref="D17:E17"/>
    <mergeCell ref="B6:D6"/>
    <mergeCell ref="I18:J18"/>
    <mergeCell ref="I12:J12"/>
    <mergeCell ref="D16:E16"/>
    <mergeCell ref="K19:M19"/>
    <mergeCell ref="E8:N8"/>
    <mergeCell ref="K13:M13"/>
    <mergeCell ref="G15:H15"/>
    <mergeCell ref="B21:N21"/>
    <mergeCell ref="G14:H14"/>
    <mergeCell ref="K18:M18"/>
    <mergeCell ref="B2:K2"/>
    <mergeCell ref="I14:J14"/>
    <mergeCell ref="B7:D7"/>
    <mergeCell ref="K16:M16"/>
    <mergeCell ref="I17:J17"/>
    <mergeCell ref="D18:E18"/>
    <mergeCell ref="D12:E12"/>
    <mergeCell ref="K15:M15"/>
    <mergeCell ref="D15:E15"/>
    <mergeCell ref="G16:H16"/>
    <mergeCell ref="I19:J19"/>
    <mergeCell ref="D14:E14"/>
    <mergeCell ref="I13:J13"/>
  </mergeCells>
  <pageMargins left="0" right="0" top="0" bottom="0" header="0" footer="0"/>
  <pageSetup orientation="portrait" paperSize="9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5" zoomScaleNormal="85" workbookViewId="0">
      <selection activeCell="O16" sqref="O16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5" zoomScaleNormal="85" workbookViewId="0">
      <selection activeCell="A19" sqref="A19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view="pageBreakPreview" zoomScale="90" zoomScaleNormal="100" zoomScaleSheetLayoutView="90" workbookViewId="0">
      <selection activeCell="I22" sqref="I22"/>
    </sheetView>
  </sheetViews>
  <sheetFormatPr baseColWidth="8" defaultColWidth="8.875" defaultRowHeight="13.5"/>
  <cols>
    <col width="1.5" customWidth="1" style="15" min="1" max="1"/>
    <col width="17.5" customWidth="1" style="15" min="2" max="2"/>
    <col width="16.5" customWidth="1" style="15" min="3" max="3"/>
    <col width="12.625" customWidth="1" style="15" min="4" max="4"/>
    <col width="11.625" customWidth="1" style="17" min="5" max="5"/>
    <col width="6.5" customWidth="1" style="17" min="6" max="6"/>
    <col width="7.5" customWidth="1" style="17" min="7" max="7"/>
    <col width="8.5" bestFit="1" customWidth="1" style="144" min="8" max="8"/>
    <col width="16.5" customWidth="1" style="15" min="9" max="9"/>
    <col width="14.25" customWidth="1" style="15" min="10" max="10"/>
    <col width="15.125" customWidth="1" style="15" min="11" max="11"/>
    <col width="2.875" customWidth="1" style="15" min="12" max="12"/>
    <col width="6.75" customWidth="1" style="145" min="13" max="13"/>
    <col width="16.625" bestFit="1" customWidth="1" style="17" min="14" max="14"/>
    <col width="13.625" bestFit="1" customWidth="1" style="15" min="15" max="15"/>
    <col width="8.875" customWidth="1" style="15" min="16" max="16384"/>
  </cols>
  <sheetData>
    <row r="1" ht="17.25" customHeight="1" s="125">
      <c r="B1" s="16" t="inlineStr">
        <is>
          <t>&lt; 트리거-글로벌PEX투자조합 - 관리보수 내역&gt;</t>
        </is>
      </c>
      <c r="C1" s="16" t="n"/>
      <c r="J1" s="15" t="inlineStr">
        <is>
          <t>(작성기준일자 : 2025.01.20)</t>
        </is>
      </c>
    </row>
    <row r="3">
      <c r="B3" s="15" t="inlineStr">
        <is>
          <t xml:space="preserve">ㅇ 조합 성립일자 : </t>
        </is>
      </c>
      <c r="C3" s="20" t="n">
        <v>45657</v>
      </c>
      <c r="E3" s="21" t="inlineStr">
        <is>
          <t>ㅇ 근거:</t>
        </is>
      </c>
      <c r="F3" s="15" t="inlineStr">
        <is>
          <t>규약 제27조</t>
        </is>
      </c>
      <c r="N3" s="146" t="n"/>
    </row>
    <row r="4">
      <c r="B4" s="21" t="inlineStr">
        <is>
          <t xml:space="preserve">ㅇ 존속기간 : </t>
        </is>
      </c>
      <c r="C4" s="21" t="inlineStr">
        <is>
          <t>2024-12-31 ~ 2032-12-30 (8년)</t>
        </is>
      </c>
      <c r="D4" s="17" t="n"/>
      <c r="E4" s="21" t="inlineStr">
        <is>
          <t>ㅇ 투자기간 :</t>
        </is>
      </c>
      <c r="F4" s="21" t="inlineStr">
        <is>
          <t>2024-12-31 ~ 2028-12-30 (4년)</t>
        </is>
      </c>
      <c r="G4" s="147" t="n"/>
      <c r="H4" s="15" t="n"/>
      <c r="N4" s="146" t="n"/>
    </row>
    <row r="5">
      <c r="B5" s="15" t="inlineStr">
        <is>
          <t xml:space="preserve">ㅇ 출자약정액 총액 : </t>
        </is>
      </c>
      <c r="C5" s="147" t="n">
        <v>10110000000</v>
      </c>
      <c r="E5" s="15" t="inlineStr">
        <is>
          <t>ㅇ 성립 시기로 부터 3년이 되는 날(2027.12.30) 까지 약정액*2.5%</t>
        </is>
      </c>
      <c r="N5" s="146" t="n"/>
    </row>
    <row r="6">
      <c r="C6" s="144" t="n"/>
      <c r="G6" s="21" t="inlineStr">
        <is>
          <t xml:space="preserve">       이후(2027.12.31~해산) 투자잔액*2.5%</t>
        </is>
      </c>
      <c r="N6" s="146" t="n"/>
    </row>
    <row r="7">
      <c r="H7" s="15" t="n"/>
      <c r="N7" s="146" t="n"/>
    </row>
    <row r="8">
      <c r="B8" s="148" t="inlineStr">
        <is>
          <t>□ 관리보수(3개년) 약정액*2.5%</t>
        </is>
      </c>
      <c r="C8" s="25" t="n"/>
      <c r="H8" s="15" t="n"/>
      <c r="K8" s="26" t="inlineStr">
        <is>
          <t>(단위 : 원)</t>
        </is>
      </c>
      <c r="N8" s="146" t="n"/>
    </row>
    <row r="9" ht="20.1" customFormat="1" customHeight="1" s="17">
      <c r="B9" s="27" t="inlineStr">
        <is>
          <t>구분</t>
        </is>
      </c>
      <c r="C9" s="149" t="inlineStr">
        <is>
          <t>기준금액</t>
        </is>
      </c>
      <c r="D9" s="27" t="inlineStr">
        <is>
          <t>기산일</t>
        </is>
      </c>
      <c r="E9" s="27" t="inlineStr">
        <is>
          <t>기준일</t>
        </is>
      </c>
      <c r="F9" s="27" t="inlineStr">
        <is>
          <t>해당일수</t>
        </is>
      </c>
      <c r="G9" s="27" t="inlineStr">
        <is>
          <t>전체일수</t>
        </is>
      </c>
      <c r="H9" s="27" t="inlineStr">
        <is>
          <t>보수율</t>
        </is>
      </c>
      <c r="I9" s="27" t="inlineStr">
        <is>
          <t>보수금액</t>
        </is>
      </c>
      <c r="J9" s="27" t="inlineStr">
        <is>
          <t>지급일자</t>
        </is>
      </c>
      <c r="K9" s="27" t="inlineStr">
        <is>
          <t>비고</t>
        </is>
      </c>
      <c r="M9" s="145" t="n"/>
      <c r="N9" s="146" t="n"/>
    </row>
    <row r="10" ht="20.1" customFormat="1" customHeight="1" s="17">
      <c r="B10" s="150" t="inlineStr">
        <is>
          <t>3개년 관리보수
(24.12.31 ~ 27.12.30)</t>
        </is>
      </c>
      <c r="C10" s="151" t="n">
        <v>10110000000</v>
      </c>
      <c r="D10" s="29">
        <f>C3</f>
        <v/>
      </c>
      <c r="E10" s="29" t="n">
        <v>45657</v>
      </c>
      <c r="F10" s="152">
        <f>E10-D10+1</f>
        <v/>
      </c>
      <c r="G10" s="152" t="n">
        <v>365</v>
      </c>
      <c r="H10" s="31" t="n">
        <v>0.025</v>
      </c>
      <c r="I10" s="153">
        <f>C10/G10*F10*H10</f>
        <v/>
      </c>
      <c r="J10" s="33" t="n">
        <v>45747</v>
      </c>
      <c r="K10" s="154" t="inlineStr">
        <is>
          <t>약정액 기준</t>
        </is>
      </c>
      <c r="M10" s="145" t="n"/>
      <c r="N10" s="146" t="n"/>
    </row>
    <row r="11" ht="20.1" customFormat="1" customHeight="1" s="17">
      <c r="B11" s="155" t="n"/>
      <c r="C11" s="155" t="n"/>
      <c r="D11" s="29" t="n">
        <v>45658</v>
      </c>
      <c r="E11" s="29" t="n">
        <v>46022</v>
      </c>
      <c r="F11" s="152">
        <f>E11-D11+1</f>
        <v/>
      </c>
      <c r="G11" s="152" t="n">
        <v>365</v>
      </c>
      <c r="H11" s="31" t="n">
        <v>0.025</v>
      </c>
      <c r="I11" s="153">
        <f>C10/G11*F11*H11</f>
        <v/>
      </c>
      <c r="J11" s="34" t="inlineStr">
        <is>
          <t>매분기말</t>
        </is>
      </c>
      <c r="K11" s="155" t="n"/>
      <c r="M11" s="145" t="n"/>
      <c r="N11" s="146" t="n"/>
    </row>
    <row r="12" ht="20.1" customFormat="1" customHeight="1" s="17">
      <c r="B12" s="155" t="n"/>
      <c r="C12" s="156" t="inlineStr">
        <is>
          <t>(총일수)
1,095일</t>
        </is>
      </c>
      <c r="D12" s="29" t="n">
        <v>46023</v>
      </c>
      <c r="E12" s="29" t="n">
        <v>46387</v>
      </c>
      <c r="F12" s="152">
        <f>E12-D12+1</f>
        <v/>
      </c>
      <c r="G12" s="152" t="n">
        <v>365</v>
      </c>
      <c r="H12" s="31" t="n">
        <v>0.025</v>
      </c>
      <c r="I12" s="153">
        <f>C10/G12*F12*H12</f>
        <v/>
      </c>
      <c r="J12" s="34" t="inlineStr">
        <is>
          <t>매분기말</t>
        </is>
      </c>
      <c r="K12" s="155" t="n"/>
      <c r="M12" s="145" t="n"/>
      <c r="N12" s="146" t="n"/>
    </row>
    <row r="13" ht="20.1" customHeight="1" s="125">
      <c r="B13" s="157" t="n"/>
      <c r="C13" s="157" t="n"/>
      <c r="D13" s="29" t="n">
        <v>46388</v>
      </c>
      <c r="E13" s="29" t="n">
        <v>46751</v>
      </c>
      <c r="F13" s="152">
        <f>E13-D13+1</f>
        <v/>
      </c>
      <c r="G13" s="152" t="n">
        <v>365</v>
      </c>
      <c r="H13" s="31" t="n">
        <v>0.025</v>
      </c>
      <c r="I13" s="153">
        <f>C10/G13*F13*H13</f>
        <v/>
      </c>
      <c r="J13" s="34" t="inlineStr">
        <is>
          <t>매분기말</t>
        </is>
      </c>
      <c r="K13" s="157" t="n"/>
      <c r="N13" s="15" t="n"/>
    </row>
    <row r="14" ht="20.1" customHeight="1" s="125">
      <c r="B14" s="111" t="inlineStr">
        <is>
          <t>관리보수 누계</t>
        </is>
      </c>
      <c r="C14" s="158" t="n"/>
      <c r="D14" s="158" t="n"/>
      <c r="E14" s="158" t="n"/>
      <c r="F14" s="158" t="n"/>
      <c r="G14" s="158" t="n"/>
      <c r="H14" s="159" t="n"/>
      <c r="I14" s="160">
        <f>SUM(I10:I13)</f>
        <v/>
      </c>
      <c r="J14" s="36" t="n"/>
      <c r="K14" s="161" t="n"/>
      <c r="N14" s="15" t="n"/>
    </row>
    <row r="15">
      <c r="A15" s="17" t="n"/>
      <c r="B15" s="148" t="inlineStr">
        <is>
          <t>□ 3개년 이후 관리보수 : 투자잔액*2.5%</t>
        </is>
      </c>
      <c r="C15" s="25" t="n"/>
      <c r="H15" s="15" t="n"/>
      <c r="K15" s="26" t="inlineStr">
        <is>
          <t>(단위 : 원)</t>
        </is>
      </c>
      <c r="N15" s="15" t="n"/>
    </row>
    <row r="16">
      <c r="A16" s="17" t="n"/>
      <c r="B16" s="38" t="n"/>
      <c r="C16" s="39" t="n"/>
      <c r="D16" s="40" t="n"/>
      <c r="E16" s="40" t="n"/>
      <c r="N16" s="15" t="n"/>
    </row>
    <row r="17" ht="20.1" customHeight="1" s="125">
      <c r="A17" s="17" t="n"/>
      <c r="B17" s="41" t="n"/>
      <c r="C17" s="41" t="n"/>
      <c r="D17" s="41" t="n"/>
      <c r="E17" s="41" t="n"/>
      <c r="F17" s="41" t="n"/>
      <c r="G17" s="41" t="n"/>
      <c r="H17" s="41" t="n"/>
      <c r="I17" s="162" t="n"/>
      <c r="J17" s="43" t="n"/>
      <c r="K17" s="163" t="n"/>
      <c r="N17" s="15" t="n"/>
    </row>
    <row r="18" ht="20.1" customHeight="1" s="125">
      <c r="A18" s="17" t="n"/>
      <c r="B18" s="45" t="inlineStr">
        <is>
          <t>연간 관리보수</t>
        </is>
      </c>
      <c r="C18" s="164" t="n">
        <v>252750000</v>
      </c>
      <c r="D18" s="41" t="n"/>
      <c r="E18" s="111" t="inlineStr">
        <is>
          <t>주식종류</t>
        </is>
      </c>
      <c r="F18" s="111" t="inlineStr">
        <is>
          <t>투자단가</t>
        </is>
      </c>
      <c r="G18" s="159" t="n"/>
      <c r="H18" s="111" t="inlineStr">
        <is>
          <t>주식수</t>
        </is>
      </c>
      <c r="I18" s="165" t="inlineStr">
        <is>
          <t>투자금액</t>
        </is>
      </c>
      <c r="J18" s="49" t="inlineStr">
        <is>
          <t>설립출자금</t>
        </is>
      </c>
      <c r="K18" s="154" t="n">
        <v>10110000000</v>
      </c>
      <c r="N18" s="15" t="n"/>
    </row>
    <row r="19" ht="20.1" customHeight="1" s="125" thickBot="1">
      <c r="A19" s="17" t="n"/>
      <c r="B19" s="45" t="inlineStr">
        <is>
          <t>연간 수탁보수</t>
        </is>
      </c>
      <c r="C19" s="164" t="n">
        <v>5560500</v>
      </c>
      <c r="D19" s="41" t="n"/>
      <c r="E19" s="51" t="n"/>
      <c r="F19" s="166" t="n"/>
      <c r="G19" s="159" t="n"/>
      <c r="H19" s="166" t="n"/>
      <c r="I19" s="167" t="n"/>
      <c r="J19" s="49" t="inlineStr">
        <is>
          <t>투자금액</t>
        </is>
      </c>
      <c r="K19" s="154" t="n">
        <v>0</v>
      </c>
      <c r="N19" s="15" t="n"/>
    </row>
    <row r="20" ht="20.1" customHeight="1" s="125" thickTop="1">
      <c r="A20" s="17" t="n"/>
      <c r="B20" s="54" t="inlineStr">
        <is>
          <t>연간 ERP 사용료</t>
        </is>
      </c>
      <c r="C20" s="168" t="n">
        <v>1980000</v>
      </c>
      <c r="D20" s="41" t="n"/>
      <c r="E20" s="56" t="n"/>
      <c r="F20" s="169" t="n"/>
      <c r="G20" s="159" t="n"/>
      <c r="H20" s="170" t="n"/>
      <c r="I20" s="171" t="n"/>
      <c r="J20" s="59" t="inlineStr">
        <is>
          <t>연간 관리비용</t>
        </is>
      </c>
      <c r="K20" s="172" t="n">
        <v>263290500</v>
      </c>
      <c r="N20" s="15" t="n"/>
    </row>
    <row r="21" ht="20.1" customHeight="1" s="125" thickBot="1">
      <c r="A21" s="17" t="n"/>
      <c r="B21" s="54" t="inlineStr">
        <is>
          <t>연간 감사보수</t>
        </is>
      </c>
      <c r="C21" s="168" t="n">
        <v>3000000</v>
      </c>
      <c r="D21" s="41" t="n"/>
      <c r="E21" s="56" t="n"/>
      <c r="F21" s="170" t="n"/>
      <c r="G21" s="173" t="n"/>
      <c r="H21" s="170" t="n"/>
      <c r="I21" s="171" t="n"/>
      <c r="J21" s="59" t="n"/>
      <c r="K21" s="174" t="n"/>
      <c r="N21" s="15" t="n"/>
    </row>
    <row r="22" ht="20.1" customHeight="1" s="125" thickTop="1">
      <c r="A22" s="17" t="n"/>
      <c r="B22" s="62" t="inlineStr">
        <is>
          <t>연간 비용 합계</t>
        </is>
      </c>
      <c r="C22" s="175">
        <f>SUM(C18:C21)</f>
        <v/>
      </c>
      <c r="D22" s="41" t="n"/>
      <c r="E22" s="62" t="inlineStr">
        <is>
          <t>합 계</t>
        </is>
      </c>
      <c r="F22" s="176" t="n"/>
      <c r="G22" s="177" t="n"/>
      <c r="H22" s="178" t="n"/>
      <c r="I22" s="179" t="n"/>
      <c r="J22" s="66" t="inlineStr">
        <is>
          <t>잔여현금</t>
        </is>
      </c>
      <c r="K22" s="180">
        <f>K18-K19-K21</f>
        <v/>
      </c>
      <c r="N22" s="15" t="n"/>
    </row>
    <row r="23" ht="20.1" customHeight="1" s="125">
      <c r="A23" s="17" t="n"/>
      <c r="B23" s="41" t="n"/>
      <c r="C23" s="181" t="n"/>
      <c r="D23" s="41" t="n"/>
      <c r="E23" s="41" t="n"/>
      <c r="F23" s="41" t="n"/>
      <c r="G23" s="41" t="n"/>
      <c r="H23" s="182" t="n"/>
      <c r="I23" s="182" t="n"/>
      <c r="J23" s="43" t="n"/>
      <c r="K23" s="163" t="n"/>
      <c r="N23" s="15" t="n"/>
    </row>
    <row r="25" ht="20.1" customHeight="1" s="125">
      <c r="A25" s="17" t="n"/>
      <c r="B25" s="41" t="n"/>
      <c r="C25" s="181" t="n"/>
      <c r="D25" s="41" t="n"/>
      <c r="E25" s="41" t="n"/>
      <c r="F25" s="41" t="n"/>
      <c r="G25" s="41" t="n"/>
      <c r="H25" s="182" t="n"/>
      <c r="I25" s="182" t="n"/>
      <c r="J25" s="43" t="n"/>
      <c r="K25" s="163" t="n"/>
      <c r="N25" s="15" t="n"/>
    </row>
    <row r="26" ht="17.25" customHeight="1" s="125">
      <c r="A26" s="17" t="n"/>
      <c r="B26" s="110" t="n"/>
      <c r="N26" s="15" t="n"/>
    </row>
    <row r="27" ht="17.25" customHeight="1" s="125">
      <c r="A27" s="17" t="n"/>
      <c r="B27" s="101" t="n"/>
      <c r="N27" s="15" t="n"/>
    </row>
    <row r="28" ht="17.25" customHeight="1" s="125">
      <c r="A28" s="17" t="n"/>
      <c r="B28" s="101" t="n"/>
      <c r="N28" s="15" t="n"/>
    </row>
    <row r="29" ht="17.25" customHeight="1" s="125">
      <c r="A29" s="17" t="n"/>
      <c r="B29" s="102" t="n"/>
      <c r="N29" s="15" t="n"/>
    </row>
    <row r="30" ht="17.25" customHeight="1" s="125">
      <c r="A30" s="17" t="n"/>
      <c r="B30" s="101" t="n"/>
      <c r="N30" s="15" t="n"/>
    </row>
    <row r="31" ht="17.25" customHeight="1" s="125">
      <c r="A31" s="17" t="n"/>
      <c r="B31" s="101" t="n"/>
      <c r="N31" s="15" t="n"/>
    </row>
    <row r="32" ht="17.25" customHeight="1" s="125">
      <c r="A32" s="17" t="n"/>
      <c r="B32" s="70" t="n"/>
      <c r="C32" s="71" t="n"/>
      <c r="D32" s="72" t="n"/>
      <c r="E32" s="72" t="n"/>
      <c r="F32" s="71" t="n"/>
      <c r="G32" s="71" t="n"/>
      <c r="H32" s="183" t="n"/>
      <c r="I32" s="74" t="n"/>
      <c r="J32" s="74" t="n"/>
      <c r="K32" s="74" t="n"/>
      <c r="N32" s="15" t="n"/>
    </row>
    <row r="33">
      <c r="A33" s="17" t="n"/>
      <c r="B33" s="38" t="n"/>
      <c r="C33" s="39" t="n"/>
      <c r="D33" s="40" t="n"/>
      <c r="E33" s="40" t="n"/>
      <c r="N33" s="15" t="n"/>
    </row>
    <row r="34">
      <c r="A34" s="17" t="n"/>
      <c r="B34" s="38" t="n"/>
      <c r="C34" s="39" t="n"/>
      <c r="D34" s="40" t="n"/>
      <c r="E34" s="40" t="n"/>
      <c r="N34" s="15" t="n"/>
    </row>
    <row r="35">
      <c r="A35" s="17" t="n"/>
      <c r="B35" s="38" t="n"/>
      <c r="C35" s="39" t="n"/>
      <c r="D35" s="40" t="n"/>
      <c r="E35" s="40" t="n"/>
      <c r="N35" s="15" t="n"/>
    </row>
    <row r="36" customFormat="1" s="17">
      <c r="A36" s="15" t="n"/>
      <c r="B36" s="75" t="n"/>
      <c r="C36" s="39" t="n"/>
      <c r="D36" s="40" t="n"/>
      <c r="E36" s="40" t="n"/>
      <c r="H36" s="144" t="n"/>
      <c r="I36" s="15" t="n"/>
      <c r="J36" s="15" t="n"/>
      <c r="K36" s="15" t="n"/>
      <c r="L36" s="15" t="n"/>
      <c r="M36" s="145" t="n"/>
      <c r="O36" s="15" t="n"/>
    </row>
    <row r="37">
      <c r="B37" s="75" t="n"/>
      <c r="C37" s="39" t="n"/>
      <c r="D37" s="40" t="n"/>
      <c r="E37" s="40" t="n"/>
    </row>
  </sheetData>
  <mergeCells count="16">
    <mergeCell ref="F21:G21"/>
    <mergeCell ref="B31:K31"/>
    <mergeCell ref="B14:H14"/>
    <mergeCell ref="K10:K13"/>
    <mergeCell ref="E22:G22"/>
    <mergeCell ref="B26:K26"/>
    <mergeCell ref="B27:K27"/>
    <mergeCell ref="C12:C13"/>
    <mergeCell ref="F19:G19"/>
    <mergeCell ref="F20:G20"/>
    <mergeCell ref="F18:G18"/>
    <mergeCell ref="B30:K30"/>
    <mergeCell ref="B29:K29"/>
    <mergeCell ref="C10:C11"/>
    <mergeCell ref="B28:K28"/>
    <mergeCell ref="B10:B13"/>
  </mergeCells>
  <pageMargins left="0.2362204724409449" right="0.2362204724409449" top="1.338582677165354" bottom="0.7480314960629921" header="0.3149606299212598" footer="0.3149606299212598"/>
  <pageSetup orientation="portrait" paperSize="9" scale="66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12" sqref="Q12"/>
    </sheetView>
  </sheetViews>
  <sheetFormatPr baseColWidth="8" defaultRowHeight="16.5"/>
  <sheetData/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정민 이</dc:creator>
  <dcterms:created xmlns:dcterms="http://purl.org/dc/terms/" xmlns:xsi="http://www.w3.org/2001/XMLSchema-instance" xsi:type="dcterms:W3CDTF">2024-11-03T23:50:21Z</dcterms:created>
  <dcterms:modified xmlns:dcterms="http://purl.org/dc/terms/" xmlns:xsi="http://www.w3.org/2001/XMLSchema-instance" xsi:type="dcterms:W3CDTF">2026-03-02T07:00:19Z</dcterms:modified>
  <cp:lastModifiedBy>CSU</cp:lastModifiedBy>
</cp:coreProperties>
</file>